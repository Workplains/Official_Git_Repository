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45" windowWidth="15600" windowHeight="11760" activeTab="2"/>
  </bookViews>
  <sheets>
    <sheet name="Dashboard" sheetId="17" r:id="rId1"/>
    <sheet name="Registration - Login" sheetId="5" r:id="rId2"/>
    <sheet name="Add new task" sheetId="6" r:id="rId3"/>
    <sheet name="Personal - Official" sheetId="7" r:id="rId4"/>
    <sheet name="Analytics" sheetId="8" r:id="rId5"/>
    <sheet name="I am following" sheetId="9" r:id="rId6"/>
    <sheet name="Documents" sheetId="10" r:id="rId7"/>
    <sheet name="Calendar" sheetId="11" r:id="rId8"/>
    <sheet name="Notifications" sheetId="12" r:id="rId9"/>
    <sheet name="Repository" sheetId="13" r:id="rId10"/>
    <sheet name="Toolbar" sheetId="15" r:id="rId11"/>
    <sheet name="Email Notifications" sheetId="18" r:id="rId12"/>
    <sheet name="Screen List" sheetId="1" r:id="rId13"/>
    <sheet name="List" sheetId="2" state="hidden" r:id="rId14"/>
    <sheet name="Ref Num" sheetId="4" state="hidden" r:id="rId15"/>
    <sheet name="Complete Features List-28Apr14" sheetId="16" state="hidden" r:id="rId16"/>
  </sheets>
  <definedNames>
    <definedName name="_xlnm._FilterDatabase" localSheetId="2" hidden="1">'Add new task'!$A$5:$H$251</definedName>
    <definedName name="_xlnm._FilterDatabase" localSheetId="4" hidden="1">Analytics!$A$5:$H$67</definedName>
    <definedName name="_xlnm._FilterDatabase" localSheetId="7" hidden="1">Calendar!$A$5:$H$15</definedName>
    <definedName name="_xlnm._FilterDatabase" localSheetId="15" hidden="1">'Complete Features List-28Apr14'!$A$1:$E$747</definedName>
    <definedName name="_xlnm._FilterDatabase" localSheetId="6" hidden="1">Documents!$A$5:$H$24</definedName>
    <definedName name="_xlnm._FilterDatabase" localSheetId="11" hidden="1">'Email Notifications'!$A$5:$H$23</definedName>
    <definedName name="_xlnm._FilterDatabase" localSheetId="5" hidden="1">'I am following'!$A$5:$H$32</definedName>
    <definedName name="_xlnm._FilterDatabase" localSheetId="8" hidden="1">Notifications!$A$5:$H$13</definedName>
    <definedName name="_xlnm._FilterDatabase" localSheetId="3" hidden="1">'Personal - Official'!$A$5:$J$165</definedName>
    <definedName name="_xlnm._FilterDatabase" localSheetId="1" hidden="1">'Registration - Login'!$A$5:$H$47</definedName>
    <definedName name="_xlnm._FilterDatabase" localSheetId="9" hidden="1">Repository!$A$5:$H$96</definedName>
    <definedName name="_xlnm._FilterDatabase" localSheetId="12" hidden="1">'Screen List'!$A$1:$S$71</definedName>
    <definedName name="_xlnm._FilterDatabase" localSheetId="10" hidden="1">Toolbar!$A$5:$H$147</definedName>
    <definedName name="Control_List">List!$E$1:$E$25</definedName>
    <definedName name="Emp_Name">List!$A$1:$A$7</definedName>
    <definedName name="Result">List!$K$1:$K$2</definedName>
    <definedName name="Sheet_Add_new_task">'Add new task'!$A$1</definedName>
    <definedName name="Sheet_Analytics">Analytics!$A$1</definedName>
    <definedName name="Sheet_Calendar">Calendar!$A$1</definedName>
    <definedName name="Sheet_Dashboard">Dashboard!$A$3</definedName>
    <definedName name="Sheet_Documents">Documents!$A$1</definedName>
    <definedName name="Sheet_Email_Notifications">'Email Notifications'!$A$1</definedName>
    <definedName name="Sheet_I_am_following">'I am following'!$A$1</definedName>
    <definedName name="Sheet_Notifications">Notifications!$A$1</definedName>
    <definedName name="Sheet_Personal_Official">'Personal - Official'!$A$1</definedName>
    <definedName name="Sheet_Registration_Login">'Registration - Login'!$A$1</definedName>
    <definedName name="Sheet_Repository">Repository!$A$1</definedName>
    <definedName name="Sheet_Toolbar">Toolbar!$A$1</definedName>
    <definedName name="Task_Type">List!$I$1:$I$2</definedName>
    <definedName name="Testing_Platform">List!$V$1:$V$5</definedName>
    <definedName name="Workmatec_Instance">List!$M$1:$M$3</definedName>
    <definedName name="Workmatec_Instance_Iteration">List!$M$1:$N$3</definedName>
    <definedName name="Workmatec_Iteration">List!$N$1:$N$3</definedName>
  </definedNames>
  <calcPr calcId="145621"/>
</workbook>
</file>

<file path=xl/calcChain.xml><?xml version="1.0" encoding="utf-8"?>
<calcChain xmlns="http://schemas.openxmlformats.org/spreadsheetml/2006/main">
  <c r="G121" i="17" l="1"/>
  <c r="H124" i="17"/>
  <c r="H114" i="17"/>
  <c r="H104" i="17"/>
  <c r="H94" i="17"/>
  <c r="H84" i="17"/>
  <c r="H74" i="17"/>
  <c r="H64" i="17"/>
  <c r="H54" i="17"/>
  <c r="H44" i="17"/>
  <c r="H36" i="17"/>
  <c r="I3" i="7" l="1"/>
  <c r="I2" i="7"/>
  <c r="H43" i="17" s="1"/>
  <c r="I1" i="7"/>
  <c r="H42" i="17" s="1"/>
  <c r="H46" i="17" l="1"/>
  <c r="H47" i="17" s="1"/>
  <c r="I4" i="7"/>
  <c r="H45" i="17" s="1"/>
  <c r="H48" i="17" s="1"/>
  <c r="G3" i="7"/>
  <c r="G2" i="7"/>
  <c r="H35" i="17" s="1"/>
  <c r="G1" i="7"/>
  <c r="H34" i="17" s="1"/>
  <c r="H38" i="17" l="1"/>
  <c r="H39" i="17" s="1"/>
  <c r="G4" i="7"/>
  <c r="H37" i="17" s="1"/>
  <c r="H40" i="17" s="1"/>
  <c r="G3" i="18"/>
  <c r="G2" i="18"/>
  <c r="H123" i="17" s="1"/>
  <c r="G1" i="18"/>
  <c r="H122" i="17" s="1"/>
  <c r="G3" i="15"/>
  <c r="G2" i="15"/>
  <c r="H113" i="17" s="1"/>
  <c r="G1" i="15"/>
  <c r="H112" i="17" s="1"/>
  <c r="H116" i="17" s="1"/>
  <c r="H117" i="17" s="1"/>
  <c r="G3" i="13"/>
  <c r="G2" i="13"/>
  <c r="H103" i="17" s="1"/>
  <c r="G1" i="13"/>
  <c r="H102" i="17" s="1"/>
  <c r="G3" i="12"/>
  <c r="G2" i="12"/>
  <c r="H93" i="17" s="1"/>
  <c r="G1" i="12"/>
  <c r="H92" i="17" s="1"/>
  <c r="H96" i="17" s="1"/>
  <c r="H97" i="17" s="1"/>
  <c r="G3" i="11"/>
  <c r="G2" i="11"/>
  <c r="H83" i="17" s="1"/>
  <c r="G1" i="11"/>
  <c r="H82" i="17" s="1"/>
  <c r="G3" i="10"/>
  <c r="G2" i="10"/>
  <c r="H73" i="17" s="1"/>
  <c r="G1" i="10"/>
  <c r="H72" i="17" s="1"/>
  <c r="G3" i="9"/>
  <c r="G2" i="9"/>
  <c r="H63" i="17" s="1"/>
  <c r="G1" i="9"/>
  <c r="H62" i="17" s="1"/>
  <c r="G3" i="8"/>
  <c r="G2" i="8"/>
  <c r="H53" i="17" s="1"/>
  <c r="G1" i="8"/>
  <c r="H52" i="17" s="1"/>
  <c r="G2" i="6"/>
  <c r="H25" i="17" s="1"/>
  <c r="G1" i="6"/>
  <c r="H24" i="17" s="1"/>
  <c r="D3" i="5"/>
  <c r="D3" i="6"/>
  <c r="D3" i="7"/>
  <c r="D3" i="8"/>
  <c r="D3" i="9"/>
  <c r="D3" i="10"/>
  <c r="D3" i="11"/>
  <c r="D3" i="12"/>
  <c r="D3" i="13"/>
  <c r="D3" i="15"/>
  <c r="D3" i="18"/>
  <c r="H126" i="17" l="1"/>
  <c r="H127" i="17" s="1"/>
  <c r="H106" i="17"/>
  <c r="H107" i="17" s="1"/>
  <c r="H86" i="17"/>
  <c r="H87" i="17" s="1"/>
  <c r="H76" i="17"/>
  <c r="H77" i="17" s="1"/>
  <c r="H28" i="17"/>
  <c r="H66" i="17"/>
  <c r="H67" i="17" s="1"/>
  <c r="H56" i="17"/>
  <c r="H57" i="17" s="1"/>
  <c r="G4" i="18"/>
  <c r="H125" i="17" s="1"/>
  <c r="H128" i="17" s="1"/>
  <c r="G4" i="15"/>
  <c r="H115" i="17" s="1"/>
  <c r="H118" i="17" s="1"/>
  <c r="G4" i="13"/>
  <c r="H105" i="17" s="1"/>
  <c r="H108" i="17" s="1"/>
  <c r="G4" i="12"/>
  <c r="H95" i="17" s="1"/>
  <c r="H98" i="17" s="1"/>
  <c r="G4" i="11"/>
  <c r="H85" i="17" s="1"/>
  <c r="H88" i="17" s="1"/>
  <c r="G4" i="10"/>
  <c r="H75" i="17" s="1"/>
  <c r="H78" i="17" s="1"/>
  <c r="G4" i="9"/>
  <c r="H65" i="17" s="1"/>
  <c r="H68" i="17" s="1"/>
  <c r="G4" i="8"/>
  <c r="H55" i="17" s="1"/>
  <c r="G2" i="5"/>
  <c r="H15" i="17" s="1"/>
  <c r="H5" i="17" s="1"/>
  <c r="G1" i="5"/>
  <c r="H14" i="17" s="1"/>
  <c r="H4" i="17" s="1"/>
  <c r="H18" i="17" l="1"/>
  <c r="H8" i="17" s="1"/>
  <c r="A7" i="5"/>
  <c r="A8" i="5" l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l="1"/>
  <c r="A43" i="5" s="1"/>
  <c r="A44" i="5" s="1"/>
  <c r="A45" i="5" s="1"/>
  <c r="A46" i="5" l="1"/>
  <c r="A47" i="5" s="1"/>
  <c r="G3" i="5"/>
  <c r="A7" i="18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G4" i="5" l="1"/>
  <c r="H17" i="17" s="1"/>
  <c r="H16" i="17"/>
  <c r="D24" i="17"/>
  <c r="D34" i="17" s="1"/>
  <c r="D52" i="17" s="1"/>
  <c r="D62" i="17" s="1"/>
  <c r="D72" i="17" s="1"/>
  <c r="D82" i="17" s="1"/>
  <c r="D92" i="17" s="1"/>
  <c r="D102" i="17" s="1"/>
  <c r="D112" i="17" s="1"/>
  <c r="D122" i="17" s="1"/>
  <c r="H19" i="17" l="1"/>
  <c r="H20" i="17"/>
  <c r="G111" i="17"/>
  <c r="G101" i="17"/>
  <c r="G91" i="17"/>
  <c r="G81" i="17"/>
  <c r="G71" i="17"/>
  <c r="G61" i="17"/>
  <c r="G51" i="17"/>
  <c r="G33" i="17"/>
  <c r="G23" i="17"/>
  <c r="G13" i="17"/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A722" i="16" s="1"/>
  <c r="A723" i="16" s="1"/>
  <c r="A724" i="16" s="1"/>
  <c r="A725" i="16" s="1"/>
  <c r="A726" i="16" s="1"/>
  <c r="A727" i="16" s="1"/>
  <c r="A728" i="16" s="1"/>
  <c r="A729" i="16" s="1"/>
  <c r="A730" i="16" s="1"/>
  <c r="A731" i="16" s="1"/>
  <c r="A732" i="16" s="1"/>
  <c r="A733" i="16" s="1"/>
  <c r="A734" i="16" s="1"/>
  <c r="A735" i="16" s="1"/>
  <c r="A736" i="16" s="1"/>
  <c r="A737" i="16" s="1"/>
  <c r="A738" i="16" s="1"/>
  <c r="A739" i="16" s="1"/>
  <c r="A740" i="16" s="1"/>
  <c r="A741" i="16" s="1"/>
  <c r="A742" i="16" s="1"/>
  <c r="A743" i="16" s="1"/>
  <c r="A744" i="16" s="1"/>
  <c r="A745" i="16" s="1"/>
  <c r="A746" i="16" s="1"/>
  <c r="A747" i="16" s="1"/>
  <c r="A748" i="16" s="1"/>
  <c r="A749" i="16" s="1"/>
  <c r="A750" i="16" s="1"/>
  <c r="A751" i="16" s="1"/>
  <c r="A752" i="16" s="1"/>
  <c r="A753" i="16" s="1"/>
  <c r="A754" i="16" s="1"/>
  <c r="A7" i="6" l="1"/>
  <c r="C3" i="1"/>
  <c r="A3" i="1"/>
  <c r="A8" i="6" l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7" i="7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C6" i="1"/>
  <c r="C59" i="1" s="1"/>
  <c r="E5" i="1"/>
  <c r="E4" i="1"/>
  <c r="G3" i="6" l="1"/>
  <c r="A7" i="8"/>
  <c r="C65" i="1"/>
  <c r="C66" i="1" s="1"/>
  <c r="C67" i="1" s="1"/>
  <c r="E62" i="1"/>
  <c r="E64" i="1"/>
  <c r="E61" i="1"/>
  <c r="E63" i="1"/>
  <c r="E60" i="1"/>
  <c r="E22" i="1"/>
  <c r="E32" i="1"/>
  <c r="E42" i="1"/>
  <c r="E48" i="1"/>
  <c r="E49" i="1"/>
  <c r="E58" i="1"/>
  <c r="E7" i="1"/>
  <c r="E27" i="1"/>
  <c r="E45" i="1"/>
  <c r="E50" i="1"/>
  <c r="H26" i="17" l="1"/>
  <c r="G4" i="6"/>
  <c r="H27" i="17" s="1"/>
  <c r="A8" i="8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7" i="9"/>
  <c r="G53" i="1"/>
  <c r="G51" i="1"/>
  <c r="I52" i="1" s="1"/>
  <c r="G54" i="1"/>
  <c r="G29" i="1"/>
  <c r="G31" i="1"/>
  <c r="G30" i="1"/>
  <c r="G28" i="1"/>
  <c r="G37" i="1"/>
  <c r="G33" i="1"/>
  <c r="G40" i="1"/>
  <c r="I41" i="1" s="1"/>
  <c r="G47" i="1"/>
  <c r="G46" i="1"/>
  <c r="G10" i="1"/>
  <c r="G9" i="1"/>
  <c r="G8" i="1"/>
  <c r="G43" i="1"/>
  <c r="G44" i="1"/>
  <c r="G25" i="1"/>
  <c r="G23" i="1"/>
  <c r="G24" i="1"/>
  <c r="G26" i="1"/>
  <c r="H30" i="17" l="1"/>
  <c r="H7" i="17"/>
  <c r="H29" i="17"/>
  <c r="H6" i="17"/>
  <c r="H9" i="17" s="1"/>
  <c r="A8" i="9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7" i="10"/>
  <c r="I39" i="1"/>
  <c r="I38" i="1"/>
  <c r="I17" i="1"/>
  <c r="I13" i="1"/>
  <c r="I11" i="1"/>
  <c r="K12" i="1" s="1"/>
  <c r="I16" i="1"/>
  <c r="I36" i="1"/>
  <c r="I34" i="1"/>
  <c r="K35" i="1" s="1"/>
  <c r="I56" i="1"/>
  <c r="I55" i="1"/>
  <c r="I57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H10" i="17" l="1"/>
  <c r="A8" i="10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H58" i="17"/>
  <c r="A7" i="11"/>
  <c r="K15" i="1"/>
  <c r="K14" i="1"/>
  <c r="K19" i="1"/>
  <c r="K21" i="1"/>
  <c r="K20" i="1"/>
  <c r="K18" i="1"/>
  <c r="A8" i="11" l="1"/>
  <c r="A9" i="11" s="1"/>
  <c r="A10" i="11" s="1"/>
  <c r="A11" i="11" s="1"/>
  <c r="A12" i="11" s="1"/>
  <c r="A13" i="11" s="1"/>
  <c r="A14" i="11" s="1"/>
  <c r="A15" i="11" s="1"/>
  <c r="A7" i="12"/>
  <c r="A8" i="12" l="1"/>
  <c r="A9" i="12" s="1"/>
  <c r="A10" i="12" s="1"/>
  <c r="A11" i="12" s="1"/>
  <c r="A12" i="12" s="1"/>
  <c r="A13" i="12" s="1"/>
  <c r="A7" i="13"/>
  <c r="A8" i="13" l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7" i="15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</calcChain>
</file>

<file path=xl/comments1.xml><?xml version="1.0" encoding="utf-8"?>
<comments xmlns="http://schemas.openxmlformats.org/spreadsheetml/2006/main">
  <authors>
    <author>Nabil Manzoor</author>
  </authors>
  <commentList>
    <comment ref="C15" authorId="0">
      <text>
        <r>
          <rPr>
            <sz val="9"/>
            <color indexed="81"/>
            <rFont val="Tahoma"/>
            <family val="2"/>
          </rPr>
          <t>Check its functionality below</t>
        </r>
      </text>
    </comment>
    <comment ref="B38" authorId="0">
      <text>
        <r>
          <rPr>
            <sz val="9"/>
            <color indexed="81"/>
            <rFont val="Tahoma"/>
            <family val="2"/>
          </rPr>
          <t>Check their functionality in their related sheets.</t>
        </r>
      </text>
    </comment>
  </commentList>
</comments>
</file>

<file path=xl/comments2.xml><?xml version="1.0" encoding="utf-8"?>
<comments xmlns="http://schemas.openxmlformats.org/spreadsheetml/2006/main">
  <authors>
    <author>Nabil Manzoor</author>
  </authors>
  <commentList>
    <comment ref="B8" authorId="0">
      <text>
        <r>
          <rPr>
            <sz val="9"/>
            <color indexed="81"/>
            <rFont val="Tahoma"/>
            <family val="2"/>
          </rPr>
          <t>Read comments where inserted. Check functionality according to the instructions given in comments of listed features.</t>
        </r>
      </text>
    </comment>
    <comment ref="C8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C9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C10" authorId="0">
      <text>
        <r>
          <rPr>
            <sz val="9"/>
            <color indexed="81"/>
            <rFont val="Tahoma"/>
            <family val="2"/>
          </rPr>
          <t>Check its functionality with forms in this sheet below.</t>
        </r>
      </text>
    </comment>
    <comment ref="C11" authorId="0">
      <text>
        <r>
          <rPr>
            <sz val="9"/>
            <color indexed="81"/>
            <rFont val="Tahoma"/>
            <family val="2"/>
          </rPr>
          <t>Check its functionality with forms in this sheet below.</t>
        </r>
      </text>
    </comment>
    <comment ref="C23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19" authorId="0">
      <text>
        <r>
          <rPr>
            <sz val="9"/>
            <color indexed="81"/>
            <rFont val="Tahoma"/>
            <family val="2"/>
          </rPr>
          <t>Check its functionality on "Personal - Official" sheet. Here just check the list.</t>
        </r>
      </text>
    </comment>
    <comment ref="B141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44" authorId="0">
      <text>
        <r>
          <rPr>
            <sz val="9"/>
            <color indexed="81"/>
            <rFont val="Tahoma"/>
            <family val="2"/>
          </rPr>
          <t>Check its functionality on "Personal - Official" sheet. Here just check the list.</t>
        </r>
      </text>
    </comment>
    <comment ref="B153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192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  <comment ref="B244" authorId="0">
      <text>
        <r>
          <rPr>
            <sz val="9"/>
            <color indexed="81"/>
            <rFont val="Tahoma"/>
            <family val="2"/>
          </rPr>
          <t>Check its functionality on "Personal - Official" sheet.</t>
        </r>
      </text>
    </comment>
  </commentList>
</comments>
</file>

<file path=xl/comments3.xml><?xml version="1.0" encoding="utf-8"?>
<comments xmlns="http://schemas.openxmlformats.org/spreadsheetml/2006/main">
  <authors>
    <author>Nabil Manzoor</author>
  </authors>
  <commentList>
    <comment ref="B12" authorId="0">
      <text>
        <r>
          <rPr>
            <sz val="9"/>
            <color indexed="81"/>
            <rFont val="Tahoma"/>
            <family val="2"/>
          </rPr>
          <t>Structured Task</t>
        </r>
      </text>
    </comment>
    <comment ref="C20" authorId="0">
      <text>
        <r>
          <rPr>
            <sz val="9"/>
            <color indexed="81"/>
            <rFont val="Tahoma"/>
            <family val="2"/>
          </rPr>
          <t>Check functionality of Editable, Visible and Required also.</t>
        </r>
      </text>
    </comment>
    <comment ref="C41" authorId="0">
      <text>
        <r>
          <rPr>
            <sz val="9"/>
            <color indexed="81"/>
            <rFont val="Tahoma"/>
            <family val="2"/>
          </rPr>
          <t>Check whether templates work after completion of this activity. Check with below mentioned Recipient Types.</t>
        </r>
      </text>
    </comment>
    <comment ref="C53" authorId="0">
      <text>
        <r>
          <rPr>
            <sz val="9"/>
            <color indexed="81"/>
            <rFont val="Tahoma"/>
            <family val="2"/>
          </rPr>
          <t>Check whether templates work after completion of this activity.</t>
        </r>
      </text>
    </comment>
    <comment ref="C65" authorId="0">
      <text>
        <r>
          <rPr>
            <sz val="9"/>
            <color indexed="81"/>
            <rFont val="Tahoma"/>
            <family val="2"/>
          </rPr>
          <t>Completion Time also</t>
        </r>
      </text>
    </comment>
    <comment ref="C81" authorId="0">
      <text>
        <r>
          <rPr>
            <sz val="9"/>
            <color indexed="81"/>
            <rFont val="Tahoma"/>
            <family val="2"/>
          </rPr>
          <t>Check functionality of Editable, Visible and Required also</t>
        </r>
      </text>
    </comment>
    <comment ref="C102" authorId="0">
      <text>
        <r>
          <rPr>
            <sz val="9"/>
            <color indexed="81"/>
            <rFont val="Tahoma"/>
            <family val="2"/>
          </rPr>
          <t>Check whether templates work after completion of this activity. Check with below mentioned Recipient Types.</t>
        </r>
      </text>
    </comment>
    <comment ref="C114" authorId="0">
      <text>
        <r>
          <rPr>
            <sz val="9"/>
            <color indexed="81"/>
            <rFont val="Tahoma"/>
            <family val="2"/>
          </rPr>
          <t>Check whether templates work after completion of this activity.</t>
        </r>
      </text>
    </comment>
    <comment ref="C115" authorId="0">
      <text>
        <r>
          <rPr>
            <sz val="9"/>
            <color indexed="81"/>
            <rFont val="Tahoma"/>
            <family val="2"/>
          </rPr>
          <t>Rules will be checked here.</t>
        </r>
      </text>
    </comment>
    <comment ref="C136" authorId="0">
      <text>
        <r>
          <rPr>
            <sz val="9"/>
            <color indexed="81"/>
            <rFont val="Tahoma"/>
            <family val="2"/>
          </rPr>
          <t>Completion Time also</t>
        </r>
      </text>
    </comment>
  </commentList>
</comments>
</file>

<file path=xl/sharedStrings.xml><?xml version="1.0" encoding="utf-8"?>
<sst xmlns="http://schemas.openxmlformats.org/spreadsheetml/2006/main" count="3837" uniqueCount="633">
  <si>
    <t>Registration</t>
  </si>
  <si>
    <t>Login</t>
  </si>
  <si>
    <t>Level 1</t>
  </si>
  <si>
    <t>Level 2</t>
  </si>
  <si>
    <t>Level 3</t>
  </si>
  <si>
    <t>Dashboard</t>
  </si>
  <si>
    <t>Add New Task</t>
  </si>
  <si>
    <t>Design Form</t>
  </si>
  <si>
    <t>#</t>
  </si>
  <si>
    <t>Process</t>
  </si>
  <si>
    <t>Level 4</t>
  </si>
  <si>
    <t>Activities</t>
  </si>
  <si>
    <t>Rules</t>
  </si>
  <si>
    <t>Settings</t>
  </si>
  <si>
    <t>Task</t>
  </si>
  <si>
    <t>Personal</t>
  </si>
  <si>
    <t>Initiate</t>
  </si>
  <si>
    <t>Inbox</t>
  </si>
  <si>
    <t>Queue</t>
  </si>
  <si>
    <t>Completed</t>
  </si>
  <si>
    <t>Official</t>
  </si>
  <si>
    <t>I am following</t>
  </si>
  <si>
    <t>Documents</t>
  </si>
  <si>
    <t>Shared</t>
  </si>
  <si>
    <t>Calendar</t>
  </si>
  <si>
    <t>Notifications</t>
  </si>
  <si>
    <t>Repository</t>
  </si>
  <si>
    <t>Data Entry</t>
  </si>
  <si>
    <t>My Performance</t>
  </si>
  <si>
    <t>My Workspace</t>
  </si>
  <si>
    <t>General</t>
  </si>
  <si>
    <t>Users</t>
  </si>
  <si>
    <t>Departments</t>
  </si>
  <si>
    <t>Report to</t>
  </si>
  <si>
    <t>Groups</t>
  </si>
  <si>
    <t>Profile</t>
  </si>
  <si>
    <t>Search</t>
  </si>
  <si>
    <t>Toolbar</t>
  </si>
  <si>
    <t>Share Process</t>
  </si>
  <si>
    <t>Data Edit Form</t>
  </si>
  <si>
    <t>Data Share Form</t>
  </si>
  <si>
    <t>New Data Entry Form</t>
  </si>
  <si>
    <t>On-going</t>
  </si>
  <si>
    <t>Code</t>
  </si>
  <si>
    <t>Logout</t>
  </si>
  <si>
    <t>Sign-up</t>
  </si>
  <si>
    <t>Level 5</t>
  </si>
  <si>
    <t>Activity Data Form</t>
  </si>
  <si>
    <t>Simulate</t>
  </si>
  <si>
    <t>Publish</t>
  </si>
  <si>
    <t>Uninstall</t>
  </si>
  <si>
    <t>Mohsin Asif</t>
  </si>
  <si>
    <t>Muhammad Bilal Arain</t>
  </si>
  <si>
    <t>Date</t>
  </si>
  <si>
    <t>Name</t>
  </si>
  <si>
    <t>Nabil Manzoor</t>
  </si>
  <si>
    <t>Templates</t>
  </si>
  <si>
    <t>Mail</t>
  </si>
  <si>
    <t>Document</t>
  </si>
  <si>
    <t>Analytics</t>
  </si>
  <si>
    <t>My Reports</t>
  </si>
  <si>
    <t>Shared Reports</t>
  </si>
  <si>
    <t>Detail Report</t>
  </si>
  <si>
    <t>Add Report</t>
  </si>
  <si>
    <t>Share Report</t>
  </si>
  <si>
    <t>Anonymous User</t>
  </si>
  <si>
    <t>Number</t>
  </si>
  <si>
    <t>Single decimal</t>
  </si>
  <si>
    <t>Double decimal</t>
  </si>
  <si>
    <t>Zero decimal</t>
  </si>
  <si>
    <t>Reference numbering</t>
  </si>
  <si>
    <t>1- Set number format with zero decimal places where numbering scheme is to be used</t>
  </si>
  <si>
    <t>2- Set reference numbering</t>
  </si>
  <si>
    <t>4- Use formula =CONCATENATE($O$11,TEXT(S15,"#.#0")) from 0.10</t>
  </si>
  <si>
    <t>5- Difference in point 3 and 4 is format of Text formula</t>
  </si>
  <si>
    <t>3- Use formula =CONCATENATE($N$6,TEXT(S6,"#.#")) from second level upto 0.9</t>
  </si>
  <si>
    <t>Screen Name</t>
  </si>
  <si>
    <t>Features</t>
  </si>
  <si>
    <t>Email Address</t>
  </si>
  <si>
    <t>Password</t>
  </si>
  <si>
    <t>Confirm Password</t>
  </si>
  <si>
    <t>Sign up with Facebook</t>
  </si>
  <si>
    <t>Sign up with Twitter</t>
  </si>
  <si>
    <t>Remember me?</t>
  </si>
  <si>
    <t>Sign up with Google</t>
  </si>
  <si>
    <t>Login with Facebook</t>
  </si>
  <si>
    <t>Login with Twitter</t>
  </si>
  <si>
    <t>Login with Google</t>
  </si>
  <si>
    <t>Control Type</t>
  </si>
  <si>
    <t>Text Box</t>
  </si>
  <si>
    <t>Button</t>
  </si>
  <si>
    <t>Hyperlink</t>
  </si>
  <si>
    <t>Check Box</t>
  </si>
  <si>
    <t>Option Button</t>
  </si>
  <si>
    <t>Image</t>
  </si>
  <si>
    <t>Image Hyperlink</t>
  </si>
  <si>
    <t>Landing Page</t>
  </si>
  <si>
    <t>Sign up now</t>
  </si>
  <si>
    <t>Forgot your password?</t>
  </si>
  <si>
    <t>Banner</t>
  </si>
  <si>
    <t>Copyright</t>
  </si>
  <si>
    <t>Text</t>
  </si>
  <si>
    <t>Add new task</t>
  </si>
  <si>
    <t>Log out</t>
  </si>
  <si>
    <t>Send</t>
  </si>
  <si>
    <t>Mark Complete</t>
  </si>
  <si>
    <t>Task Title</t>
  </si>
  <si>
    <t>Task Description</t>
  </si>
  <si>
    <t>Assign To</t>
  </si>
  <si>
    <t>Followers</t>
  </si>
  <si>
    <t>Task Summary</t>
  </si>
  <si>
    <t>Attachments</t>
  </si>
  <si>
    <t>Tags</t>
  </si>
  <si>
    <t>More Settings</t>
  </si>
  <si>
    <t>My Notes</t>
  </si>
  <si>
    <t>Post</t>
  </si>
  <si>
    <t>Attachment</t>
  </si>
  <si>
    <t>Collapse/Expand</t>
  </si>
  <si>
    <t>Date Control</t>
  </si>
  <si>
    <t>Time Control</t>
  </si>
  <si>
    <t>Combo Box</t>
  </si>
  <si>
    <t>Check Email</t>
  </si>
  <si>
    <t>Account Verification</t>
  </si>
  <si>
    <t>Email</t>
  </si>
  <si>
    <t>Workmatec ID</t>
  </si>
  <si>
    <t>Send Email</t>
  </si>
  <si>
    <t>Select File</t>
  </si>
  <si>
    <t>Cancel File</t>
  </si>
  <si>
    <t>This task is required by</t>
  </si>
  <si>
    <t>Time</t>
  </si>
  <si>
    <t>Remind Me</t>
  </si>
  <si>
    <t>Every Day</t>
  </si>
  <si>
    <t>Day</t>
  </si>
  <si>
    <t>Hour</t>
  </si>
  <si>
    <t>Before</t>
  </si>
  <si>
    <t>One Time</t>
  </si>
  <si>
    <t>Generate Late Notification</t>
  </si>
  <si>
    <t>Repeat This Task</t>
  </si>
  <si>
    <t>Never</t>
  </si>
  <si>
    <t>Week</t>
  </si>
  <si>
    <t>Month</t>
  </si>
  <si>
    <t>Year</t>
  </si>
  <si>
    <t>Every</t>
  </si>
  <si>
    <t>Numeric</t>
  </si>
  <si>
    <t>Check List</t>
  </si>
  <si>
    <t>Option List</t>
  </si>
  <si>
    <t>Title</t>
  </si>
  <si>
    <t>Section</t>
  </si>
  <si>
    <t>Description</t>
  </si>
  <si>
    <t>Line</t>
  </si>
  <si>
    <t>Control</t>
  </si>
  <si>
    <t>Add</t>
  </si>
  <si>
    <t>Up Arrow</t>
  </si>
  <si>
    <t>Down Arrow</t>
  </si>
  <si>
    <t>Delete Control</t>
  </si>
  <si>
    <t>Cancel Form</t>
  </si>
  <si>
    <t>Save Form</t>
  </si>
  <si>
    <t>Functionality Saved Form</t>
  </si>
  <si>
    <t>Tab</t>
  </si>
  <si>
    <t>Activity Name</t>
  </si>
  <si>
    <t>Add Activity</t>
  </si>
  <si>
    <t>Next</t>
  </si>
  <si>
    <t>Registration == Sign-up</t>
  </si>
  <si>
    <t>Registration == Login</t>
  </si>
  <si>
    <t>Dashboard == Add New Task == Task Tab == Design Form</t>
  </si>
  <si>
    <t>Recipient Type</t>
  </si>
  <si>
    <t>Completion Time</t>
  </si>
  <si>
    <t>Completion Time Unit</t>
  </si>
  <si>
    <t>Form Web Path</t>
  </si>
  <si>
    <t>User</t>
  </si>
  <si>
    <t>User Designation</t>
  </si>
  <si>
    <t>Group</t>
  </si>
  <si>
    <t>Department</t>
  </si>
  <si>
    <t>Initiator of Process</t>
  </si>
  <si>
    <t>Supervisor of Initiator</t>
  </si>
  <si>
    <t>HOD of Initiator</t>
  </si>
  <si>
    <t>Supervisor Previous Activity</t>
  </si>
  <si>
    <t>HOD Previous Activity</t>
  </si>
  <si>
    <t>User Variable</t>
  </si>
  <si>
    <t>User Designation Variable</t>
  </si>
  <si>
    <t>Group Variable</t>
  </si>
  <si>
    <t>Queue Variable</t>
  </si>
  <si>
    <t>Department Variable</t>
  </si>
  <si>
    <t>Supervisor of Variable</t>
  </si>
  <si>
    <t>HOD of Variable</t>
  </si>
  <si>
    <t>Combo Option</t>
  </si>
  <si>
    <t>Days</t>
  </si>
  <si>
    <t>Hours</t>
  </si>
  <si>
    <t>Minutes</t>
  </si>
  <si>
    <t>Save Activity</t>
  </si>
  <si>
    <t>Cancel Activity</t>
  </si>
  <si>
    <t>Edit Activity</t>
  </si>
  <si>
    <t xml:space="preserve"> … Activities Tab == Activity Name</t>
  </si>
  <si>
    <t xml:space="preserve"> … Activities Tab == Activity Name == Recipient Type</t>
  </si>
  <si>
    <t xml:space="preserve"> … Activities Tab == Activity Name == Completion Time Unit</t>
  </si>
  <si>
    <t>Dashboard == Add New Task == Process Tab</t>
  </si>
  <si>
    <t>... Activities Tab</t>
  </si>
  <si>
    <t>Activity Data form</t>
  </si>
  <si>
    <t xml:space="preserve"> … Activities Tab == Activity Data form</t>
  </si>
  <si>
    <t>Editable</t>
  </si>
  <si>
    <t>Required</t>
  </si>
  <si>
    <t>Save Activity Data form</t>
  </si>
  <si>
    <t>Cancel Activity Data form</t>
  </si>
  <si>
    <t>Name of Fields</t>
  </si>
  <si>
    <t>Editable Select All</t>
  </si>
  <si>
    <t>Required Select All</t>
  </si>
  <si>
    <t>Dashboard == Add New Task == Task tab</t>
  </si>
  <si>
    <t>... Templates Tab</t>
  </si>
  <si>
    <t>Add Template</t>
  </si>
  <si>
    <t>... Templates Tab == Add Template == Mail</t>
  </si>
  <si>
    <t>... Templates Tab == Add Template</t>
  </si>
  <si>
    <t>Subject</t>
  </si>
  <si>
    <t>Body</t>
  </si>
  <si>
    <t>Rich Text Box</t>
  </si>
  <si>
    <t>Save Template</t>
  </si>
  <si>
    <t>Cancel Template</t>
  </si>
  <si>
    <t>... Templates Tab == Add Template == Document</t>
  </si>
  <si>
    <t>Document Name</t>
  </si>
  <si>
    <t>... Rules Tab</t>
  </si>
  <si>
    <t>Add Rule</t>
  </si>
  <si>
    <t>... Rules Tab == Add Rule</t>
  </si>
  <si>
    <t>Is activated</t>
  </si>
  <si>
    <t>Is completed</t>
  </si>
  <si>
    <t>Is delayed</t>
  </si>
  <si>
    <t>Click here to add condition</t>
  </si>
  <si>
    <t>... Rules Tab == Add Rule == Click here to add condition</t>
  </si>
  <si>
    <t>AND</t>
  </si>
  <si>
    <t>OR</t>
  </si>
  <si>
    <t>Select Data Field</t>
  </si>
  <si>
    <t xml:space="preserve"> =</t>
  </si>
  <si>
    <t xml:space="preserve"> !=</t>
  </si>
  <si>
    <t xml:space="preserve"> &gt;</t>
  </si>
  <si>
    <t xml:space="preserve"> &gt;=</t>
  </si>
  <si>
    <t xml:space="preserve"> &lt;</t>
  </si>
  <si>
    <t xml:space="preserve"> &lt;=</t>
  </si>
  <si>
    <t>Value Box</t>
  </si>
  <si>
    <t>Activate</t>
  </si>
  <si>
    <t>Terminate Incident</t>
  </si>
  <si>
    <t>Complete Incident</t>
  </si>
  <si>
    <t>Complete</t>
  </si>
  <si>
    <t>Terminate</t>
  </si>
  <si>
    <t>Delete Activity</t>
  </si>
  <si>
    <t>Delete Rule</t>
  </si>
  <si>
    <t>... Settings Tab</t>
  </si>
  <si>
    <t>Name of Process</t>
  </si>
  <si>
    <t>Delete Process</t>
  </si>
  <si>
    <t>... Settings Tab == Simulate</t>
  </si>
  <si>
    <t>Process Flow</t>
  </si>
  <si>
    <t>Close</t>
  </si>
  <si>
    <t>Flow</t>
  </si>
  <si>
    <t>Delete Template</t>
  </si>
  <si>
    <t>Edit Template</t>
  </si>
  <si>
    <t>Dashboard == Add New Task</t>
  </si>
  <si>
    <t>Dashboard == Personal == Initiate tab</t>
  </si>
  <si>
    <t>Start Activity (Name)</t>
  </si>
  <si>
    <t>Dashboard == Personal == Initiate tab == Start Activity (Name)</t>
  </si>
  <si>
    <t>Comments</t>
  </si>
  <si>
    <t>... Settings Tab == Anonymous User</t>
  </si>
  <si>
    <t>Link</t>
  </si>
  <si>
    <t>Embed</t>
  </si>
  <si>
    <t>Iframe</t>
  </si>
  <si>
    <t>Popup</t>
  </si>
  <si>
    <t>Link box</t>
  </si>
  <si>
    <t>Preview Link</t>
  </si>
  <si>
    <t>Submit</t>
  </si>
  <si>
    <t>Dashboard == Personal == Inbox tab</t>
  </si>
  <si>
    <t>Activity Name - Draft</t>
  </si>
  <si>
    <t>Delete Task - Draft</t>
  </si>
  <si>
    <t>Dashboard == Personal == Inbox tab == Activity Name</t>
  </si>
  <si>
    <t>Task Info</t>
  </si>
  <si>
    <t>Dashboard == Personal == Queue tab</t>
  </si>
  <si>
    <t>Workmatec Address</t>
  </si>
  <si>
    <t>Visible</t>
  </si>
  <si>
    <t>Visible Select All</t>
  </si>
  <si>
    <t>Version / Desc. Info</t>
  </si>
  <si>
    <t>Get Task</t>
  </si>
  <si>
    <t>Dashboard == Personal/Official</t>
  </si>
  <si>
    <t>Dashboard == Personal == Completed tab</t>
  </si>
  <si>
    <t>Dashboard == Personal == Completed tab == Activity Name</t>
  </si>
  <si>
    <t>Launch Date</t>
  </si>
  <si>
    <t>Task Deadline</t>
  </si>
  <si>
    <t>Select Process</t>
  </si>
  <si>
    <t>Today's new tasks</t>
  </si>
  <si>
    <t>Current tasks</t>
  </si>
  <si>
    <t>Late tasks</t>
  </si>
  <si>
    <t>Completed tasks</t>
  </si>
  <si>
    <t>Graph</t>
  </si>
  <si>
    <t>… Detail Report</t>
  </si>
  <si>
    <t>Grid</t>
  </si>
  <si>
    <t>Report</t>
  </si>
  <si>
    <t>Export</t>
  </si>
  <si>
    <t>Report Filter</t>
  </si>
  <si>
    <t>Users List</t>
  </si>
  <si>
    <t>Report Name</t>
  </si>
  <si>
    <t>Shared User Names</t>
  </si>
  <si>
    <t>Delete Report</t>
  </si>
  <si>
    <t>Report Search</t>
  </si>
  <si>
    <t>Report Graph - Pie Chart</t>
  </si>
  <si>
    <t>Report Graph - Column Chart</t>
  </si>
  <si>
    <t>Report Scrolling</t>
  </si>
  <si>
    <t>Save Report</t>
  </si>
  <si>
    <t>Cancel Report</t>
  </si>
  <si>
    <t>Save Share</t>
  </si>
  <si>
    <t>Cancel Share</t>
  </si>
  <si>
    <t>Dashboard == Analytics</t>
  </si>
  <si>
    <t>Dashboard == Analytics == Dashboard</t>
  </si>
  <si>
    <t>Dashboard == Analytics == Dashboard == My Performance</t>
  </si>
  <si>
    <t>Dashboard == Analytics == Dashboard == My Workspace</t>
  </si>
  <si>
    <t>Dashboard == Analytics == My Reports</t>
  </si>
  <si>
    <t>Dashboard == Analytics == My Reports == Report Name</t>
  </si>
  <si>
    <t>Dashboard == Analytics == My Reports == Share Report</t>
  </si>
  <si>
    <t>Dashboard == Analytics == Shared Reports</t>
  </si>
  <si>
    <t>Dashboard == I am following</t>
  </si>
  <si>
    <t>On going</t>
  </si>
  <si>
    <t>Dashboard == I am following == On going</t>
  </si>
  <si>
    <t>Process/Task Name</t>
  </si>
  <si>
    <t>Attached Files</t>
  </si>
  <si>
    <t>More</t>
  </si>
  <si>
    <t>Unfollow</t>
  </si>
  <si>
    <t>Attach</t>
  </si>
  <si>
    <t>Comment Box</t>
  </si>
  <si>
    <t>Delete Attach File</t>
  </si>
  <si>
    <t>Scrolling</t>
  </si>
  <si>
    <t>… Process/Task Name (Completed task/process)</t>
  </si>
  <si>
    <t>… Process/Task Name (Incomplete task/process)</t>
  </si>
  <si>
    <t>Dashboard == I am following == Completed</t>
  </si>
  <si>
    <t>Mark Incomplete</t>
  </si>
  <si>
    <t>Dashboard == Documents</t>
  </si>
  <si>
    <t>Dashboard == Documents == Personal</t>
  </si>
  <si>
    <t>File Name</t>
  </si>
  <si>
    <t>Delete File</t>
  </si>
  <si>
    <t>Share File</t>
  </si>
  <si>
    <t>Open File</t>
  </si>
  <si>
    <t>Close File</t>
  </si>
  <si>
    <t>Dialogue Box</t>
  </si>
  <si>
    <t>Name or Email</t>
  </si>
  <si>
    <t>Save Document</t>
  </si>
  <si>
    <t>Cancel Document</t>
  </si>
  <si>
    <t>Dashboard == Documents == Shared</t>
  </si>
  <si>
    <t>OK</t>
  </si>
  <si>
    <t>Cancel</t>
  </si>
  <si>
    <t>Dashboard == Calendar</t>
  </si>
  <si>
    <t>Calendar Control</t>
  </si>
  <si>
    <t>Move Next</t>
  </si>
  <si>
    <t>Move Previous</t>
  </si>
  <si>
    <t>today</t>
  </si>
  <si>
    <t>Month/Year</t>
  </si>
  <si>
    <t>Task(s) List</t>
  </si>
  <si>
    <t>Dashboard == Calendar == Task Link (Completed task/process)</t>
  </si>
  <si>
    <t>Dashboard == Calendar == Task Link (Incomplete task/process)</t>
  </si>
  <si>
    <t>Dashboard == Notifications</t>
  </si>
  <si>
    <t>List</t>
  </si>
  <si>
    <t>Delete Notification</t>
  </si>
  <si>
    <t>Share document</t>
  </si>
  <si>
    <t>Follow person</t>
  </si>
  <si>
    <t>Unfollow person</t>
  </si>
  <si>
    <t>Dashboard == Repository</t>
  </si>
  <si>
    <t>Dashboard == Repository == Personal Tab</t>
  </si>
  <si>
    <t>Process Name</t>
  </si>
  <si>
    <t>Dashboard == Repository == Personal Tab == Process Name</t>
  </si>
  <si>
    <t>… Design Form</t>
  </si>
  <si>
    <t>Dashboard == Repository == Personal Tab == Process Name == Task Tab</t>
  </si>
  <si>
    <t>Dashboard == Repository == Personal Tab == Process Name == Process Tab</t>
  </si>
  <si>
    <t>Dashboard == Repository == Personal Tab == Share Process</t>
  </si>
  <si>
    <t>Share with</t>
  </si>
  <si>
    <t>Create a copy for</t>
  </si>
  <si>
    <t>Share Save</t>
  </si>
  <si>
    <t>Share Cancel</t>
  </si>
  <si>
    <t>Sub Features</t>
  </si>
  <si>
    <t>Dashboard == Repository == Shared Tab (Share with)</t>
  </si>
  <si>
    <t>Dashboard == Repository == Shared Tab (Create a copy for)</t>
  </si>
  <si>
    <t>Get Copy</t>
  </si>
  <si>
    <t>Dashboard == Repository == Data Entry</t>
  </si>
  <si>
    <t>Create</t>
  </si>
  <si>
    <t>Form Title</t>
  </si>
  <si>
    <t>… Create == Data Entry Form</t>
  </si>
  <si>
    <t>Form Image</t>
  </si>
  <si>
    <t>Form Name</t>
  </si>
  <si>
    <t>Form Info</t>
  </si>
  <si>
    <t>Form Edit</t>
  </si>
  <si>
    <t>Delete Form</t>
  </si>
  <si>
    <t>Save Data</t>
  </si>
  <si>
    <t>Close Form</t>
  </si>
  <si>
    <t>… Form Edit</t>
  </si>
  <si>
    <t>Check [… Create == Data Entry Form]</t>
  </si>
  <si>
    <t>Report Name [Check My Reports]</t>
  </si>
  <si>
    <t>Check [Dashboard == Personal == Completed tab == Activity Name]</t>
  </si>
  <si>
    <t>Check  [Dashboard == Personal == Inbox tab == Activity Name]</t>
  </si>
  <si>
    <t>Check [Dashboard == Add New Task == Task tab]</t>
  </si>
  <si>
    <t>Check [Dashboard == Personal == Inbox tab == Activity Name]</t>
  </si>
  <si>
    <t>Check [Dashboard == Add New Task == Task Tab == Design Form]</t>
  </si>
  <si>
    <t>Check [Dashboard == Add New Task == Process Tab]</t>
  </si>
  <si>
    <t>Check [Dashboard == Add New Task == Process Tab == Settings Tab]</t>
  </si>
  <si>
    <t>Edit Profile Picture</t>
  </si>
  <si>
    <t>Select Picture</t>
  </si>
  <si>
    <t>Cancel Picture</t>
  </si>
  <si>
    <t>Full Name</t>
  </si>
  <si>
    <t>First Name</t>
  </si>
  <si>
    <t>Middle Name</t>
  </si>
  <si>
    <t>Last Name</t>
  </si>
  <si>
    <t>Official/Primary Email</t>
  </si>
  <si>
    <t>Personal/Alternate Email</t>
  </si>
  <si>
    <t>Organization/Company Name</t>
  </si>
  <si>
    <t>Designation</t>
  </si>
  <si>
    <t>Total Professional Experience (Years)</t>
  </si>
  <si>
    <t>Skills</t>
  </si>
  <si>
    <t>Education</t>
  </si>
  <si>
    <t>Contact# (Official)</t>
  </si>
  <si>
    <t>Contact# (Personal)</t>
  </si>
  <si>
    <t>Official Address</t>
  </si>
  <si>
    <t>City</t>
  </si>
  <si>
    <t>Postal Code</t>
  </si>
  <si>
    <t>State/Province</t>
  </si>
  <si>
    <t>Country</t>
  </si>
  <si>
    <t>Professional Services Rate (Value Currency/Time)</t>
  </si>
  <si>
    <t>Select Currency</t>
  </si>
  <si>
    <t>Charge By</t>
  </si>
  <si>
    <t>Availability</t>
  </si>
  <si>
    <t>Available</t>
  </si>
  <si>
    <t>Unavailable</t>
  </si>
  <si>
    <t>Available for specific timing</t>
  </si>
  <si>
    <t>Save</t>
  </si>
  <si>
    <t>Change Password</t>
  </si>
  <si>
    <t>Current Password</t>
  </si>
  <si>
    <t>New Password</t>
  </si>
  <si>
    <t>Notification Settings</t>
  </si>
  <si>
    <t>New task notifications</t>
  </si>
  <si>
    <t>Late task notifications</t>
  </si>
  <si>
    <t>Completed task notifications</t>
  </si>
  <si>
    <t>Remind task notifications</t>
  </si>
  <si>
    <t>Task feed notifications</t>
  </si>
  <si>
    <t>Share document notifications</t>
  </si>
  <si>
    <t>Release Notes</t>
  </si>
  <si>
    <t>Profile Image</t>
  </si>
  <si>
    <t>Workmatec Image</t>
  </si>
  <si>
    <t>User Name</t>
  </si>
  <si>
    <t>Delete User</t>
  </si>
  <si>
    <t>Add User</t>
  </si>
  <si>
    <t>Save User</t>
  </si>
  <si>
    <t>Cancel User</t>
  </si>
  <si>
    <t>Desgination</t>
  </si>
  <si>
    <t>Department Name</t>
  </si>
  <si>
    <t>Supervisor</t>
  </si>
  <si>
    <t>Cancel User Settings</t>
  </si>
  <si>
    <t>Save User Settings</t>
  </si>
  <si>
    <t>Add Department</t>
  </si>
  <si>
    <t>Parent Department</t>
  </si>
  <si>
    <t>Head of Department</t>
  </si>
  <si>
    <t>Cancel Department Settings</t>
  </si>
  <si>
    <t>Save Department Settings</t>
  </si>
  <si>
    <t>Edit Department Settings</t>
  </si>
  <si>
    <t>Add Report to</t>
  </si>
  <si>
    <t>Delete Report to</t>
  </si>
  <si>
    <t>Cancel Report to</t>
  </si>
  <si>
    <t>Save Report to</t>
  </si>
  <si>
    <t>Edit Report to</t>
  </si>
  <si>
    <t>Add Group</t>
  </si>
  <si>
    <t>Group Name</t>
  </si>
  <si>
    <t>Delete Group</t>
  </si>
  <si>
    <t>Memebers</t>
  </si>
  <si>
    <t>Cancel Group</t>
  </si>
  <si>
    <t>Save Group</t>
  </si>
  <si>
    <t>Edit Group</t>
  </si>
  <si>
    <t>Add Member</t>
  </si>
  <si>
    <t>Delete Member</t>
  </si>
  <si>
    <t>… Add Member</t>
  </si>
  <si>
    <t>Cancel Group Member</t>
  </si>
  <si>
    <t>Save Group Member</t>
  </si>
  <si>
    <t>User Profile</t>
  </si>
  <si>
    <t>Back</t>
  </si>
  <si>
    <t>Home</t>
  </si>
  <si>
    <t>Toolbar == User Profile</t>
  </si>
  <si>
    <t>Toolbar == Settings</t>
  </si>
  <si>
    <t>Toolbar == Settings == General</t>
  </si>
  <si>
    <t>Toolbar == Settings == Users</t>
  </si>
  <si>
    <t>Toolbar == Settings == Users == Add User == User Name</t>
  </si>
  <si>
    <t>Toolbar == Settings == Departments</t>
  </si>
  <si>
    <t>Toolbar == Settings == Departments == Add Department</t>
  </si>
  <si>
    <t>Toolbar == Settings == Departments == Department Name</t>
  </si>
  <si>
    <t>Toolbar == Settings == Report to</t>
  </si>
  <si>
    <t>Toolbar == Settings == Report to == Add Report to</t>
  </si>
  <si>
    <t>Toolbar == Settings == Report to == User Name</t>
  </si>
  <si>
    <t>Toolbar == Settings == Groups</t>
  </si>
  <si>
    <t>Toolbar == Settings == Groups == Add Group</t>
  </si>
  <si>
    <t>Toolbar == Settings == Groups == Group Name</t>
  </si>
  <si>
    <t>Toolbar == Settings == Groups == Memebers</t>
  </si>
  <si>
    <t>Toolbar == Search</t>
  </si>
  <si>
    <t>Actions 1</t>
  </si>
  <si>
    <t>Actions 2</t>
  </si>
  <si>
    <t>Operators 1</t>
  </si>
  <si>
    <t>Operators 2</t>
  </si>
  <si>
    <t>Result</t>
  </si>
  <si>
    <t>Pass</t>
  </si>
  <si>
    <t>Fail</t>
  </si>
  <si>
    <t>Workmatec Staging</t>
  </si>
  <si>
    <t>Workmatec Live</t>
  </si>
  <si>
    <t>Workmatec Local</t>
  </si>
  <si>
    <t>25Apr2014_0800PM_Staging</t>
  </si>
  <si>
    <t>28Apr2014_0800PM_Staging</t>
  </si>
  <si>
    <t>28Apr2014_0800PM_Live</t>
  </si>
  <si>
    <t>25Apr2014_0800PM_Live</t>
  </si>
  <si>
    <t>Name:</t>
  </si>
  <si>
    <t>Workmatec Instance:</t>
  </si>
  <si>
    <t>Workmatec Iteration:</t>
  </si>
  <si>
    <t>30Apr2014_0800PM_Staging</t>
  </si>
  <si>
    <t>Usama Javed</t>
  </si>
  <si>
    <t>Add Item</t>
  </si>
  <si>
    <t>… Control Edit Mode</t>
  </si>
  <si>
    <t>Type</t>
  </si>
  <si>
    <t>Done</t>
  </si>
  <si>
    <t>Duplicate</t>
  </si>
  <si>
    <t>Delete</t>
  </si>
  <si>
    <t>Move After</t>
  </si>
  <si>
    <t>Move Top</t>
  </si>
  <si>
    <t>Delete Option</t>
  </si>
  <si>
    <t>… Control Edit Mode == Check List, Option List, Combo Box</t>
  </si>
  <si>
    <t>Control Title</t>
  </si>
  <si>
    <t>… Control Edit Mode == Line</t>
  </si>
  <si>
    <t>Recipient</t>
  </si>
  <si>
    <t>Note</t>
  </si>
  <si>
    <t>07May2014_1200PM_Staging</t>
  </si>
  <si>
    <t>07May2014_1200PM_Live</t>
  </si>
  <si>
    <t>Pass Count</t>
  </si>
  <si>
    <t>Fail Count</t>
  </si>
  <si>
    <t>Total Tests</t>
  </si>
  <si>
    <t>Remaining Tests</t>
  </si>
  <si>
    <t>%age Completed</t>
  </si>
  <si>
    <t>COMBINED RESULT</t>
  </si>
  <si>
    <t>Add 1st Follower</t>
  </si>
  <si>
    <t>Add 1st Assignee</t>
  </si>
  <si>
    <t>Add 2nd Assignee</t>
  </si>
  <si>
    <t>Add 2nd Follower</t>
  </si>
  <si>
    <t>Remove Assignee</t>
  </si>
  <si>
    <t>Remove Follower</t>
  </si>
  <si>
    <t>Due Date Reminder</t>
  </si>
  <si>
    <t>Add Attachment</t>
  </si>
  <si>
    <t>Delete Attachment</t>
  </si>
  <si>
    <t>Add Comments</t>
  </si>
  <si>
    <t>Late Notification</t>
  </si>
  <si>
    <t>Status Mark Complete</t>
  </si>
  <si>
    <t>Add Assignee</t>
  </si>
  <si>
    <t>New Task</t>
  </si>
  <si>
    <t>After Sending Task</t>
  </si>
  <si>
    <t>Send Task</t>
  </si>
  <si>
    <t>Status Mark Incomplete</t>
  </si>
  <si>
    <t>Add New User</t>
  </si>
  <si>
    <t>Settings == Users</t>
  </si>
  <si>
    <t>Text Area</t>
  </si>
  <si>
    <t>Screen</t>
  </si>
  <si>
    <t>URL</t>
  </si>
  <si>
    <t>Template Email</t>
  </si>
  <si>
    <t>Template Document</t>
  </si>
  <si>
    <t>Form Fields</t>
  </si>
  <si>
    <t>Control Properties</t>
  </si>
  <si>
    <t>Start Activity</t>
  </si>
  <si>
    <t>Second Activity</t>
  </si>
  <si>
    <t xml:space="preserve"> … Activities Tab == Activity Data Form</t>
  </si>
  <si>
    <t>Dashboard == Add New Task == Task Tab == Unstructured Task</t>
  </si>
  <si>
    <t>Completed Tab</t>
  </si>
  <si>
    <t>Anonymous User - Embed</t>
  </si>
  <si>
    <t>Anonymous User - Iframe</t>
  </si>
  <si>
    <t>Anonymous User - Popup</t>
  </si>
  <si>
    <t>Anonymous User - Link</t>
  </si>
  <si>
    <t>1. Add new task (3 times)</t>
  </si>
  <si>
    <t>2. Personal - Official (3 times)</t>
  </si>
  <si>
    <t>3. Repository (1 time)</t>
  </si>
  <si>
    <t>1. Add new task (1 time)</t>
  </si>
  <si>
    <t>2. Personal - Official (1 time)</t>
  </si>
  <si>
    <t>Zahid Mustafa</t>
  </si>
  <si>
    <t>Muhammad Asghar</t>
  </si>
  <si>
    <t>Bilal Manzoor</t>
  </si>
  <si>
    <t>02Jun2014_0800PM_Live</t>
  </si>
  <si>
    <t>02Jun2014_0800PM_Staging</t>
  </si>
  <si>
    <r>
      <t xml:space="preserve">1) </t>
    </r>
    <r>
      <rPr>
        <b/>
        <u/>
        <sz val="12"/>
        <color theme="1"/>
        <rFont val="Calibri"/>
        <family val="2"/>
        <scheme val="minor"/>
      </rPr>
      <t>List of controls</t>
    </r>
    <r>
      <rPr>
        <sz val="12"/>
        <color theme="1"/>
        <rFont val="Calibri"/>
        <family val="2"/>
        <scheme val="minor"/>
      </rPr>
      <t xml:space="preserve"> (13) in following sheets:</t>
    </r>
  </si>
  <si>
    <r>
      <t xml:space="preserve">2) </t>
    </r>
    <r>
      <rPr>
        <b/>
        <u/>
        <sz val="12"/>
        <color theme="1"/>
        <rFont val="Calibri"/>
        <family val="2"/>
        <scheme val="minor"/>
      </rPr>
      <t>Recipient Types</t>
    </r>
    <r>
      <rPr>
        <sz val="12"/>
        <color theme="1"/>
        <rFont val="Calibri"/>
        <family val="2"/>
        <scheme val="minor"/>
      </rPr>
      <t xml:space="preserve"> in following sheets:</t>
    </r>
  </si>
  <si>
    <t>Your Name</t>
  </si>
  <si>
    <t>SignUp Now</t>
  </si>
  <si>
    <t>Header toolbar</t>
  </si>
  <si>
    <t>Footer Links</t>
  </si>
  <si>
    <t>Workmatec Logo</t>
  </si>
  <si>
    <t>Registration == Signup Now (Free Account)</t>
  </si>
  <si>
    <t>Sign Up</t>
  </si>
  <si>
    <t>Login Now</t>
  </si>
  <si>
    <t>Forgot your password</t>
  </si>
  <si>
    <t>Remember my information</t>
  </si>
  <si>
    <t>Signup now</t>
  </si>
  <si>
    <t>Forgot your Password</t>
  </si>
  <si>
    <t>Result Personal</t>
  </si>
  <si>
    <t>Result Official</t>
  </si>
  <si>
    <t>Remove Old User</t>
  </si>
  <si>
    <t>User Variables in Body</t>
  </si>
  <si>
    <t>System Variables in Body</t>
  </si>
  <si>
    <t>Workmatec</t>
  </si>
  <si>
    <t>Above is the old list of iterations</t>
  </si>
  <si>
    <t>10Jun2014_0800PM</t>
  </si>
  <si>
    <t>Coding</t>
  </si>
  <si>
    <t>Login == https://app.workmatec.com site</t>
  </si>
  <si>
    <t>Registration == https://www.workmatec.com site</t>
  </si>
  <si>
    <t>Landing Page == https://app.workmatec.com site</t>
  </si>
  <si>
    <t>Pass Tests</t>
  </si>
  <si>
    <t>Fail Tests</t>
  </si>
  <si>
    <t>Pass Tests (P)</t>
  </si>
  <si>
    <t>Pass Tests (O)</t>
  </si>
  <si>
    <t>… 0 in Match formula means exact match.</t>
  </si>
  <si>
    <t>… Match formula in Index formula is parameter of row and 2 is parameter of column</t>
  </si>
  <si>
    <t>columns see Notes below:</t>
  </si>
  <si>
    <t>*** Notes</t>
  </si>
  <si>
    <t xml:space="preserve"> - Workmatec_Instance</t>
  </si>
  <si>
    <t xml:space="preserve"> - Workmatec_Instance_Iteration</t>
  </si>
  <si>
    <t xml:space="preserve"> - Workmatec_Iteration</t>
  </si>
  <si>
    <t>2) Use data validation of List to show value of Workmatec_Instance name range</t>
  </si>
  <si>
    <t>=IFERROR(INDEX(Workmatec_Instance_Iteration,MATCH(D2,Workmatec_Instance,0),2),"")</t>
  </si>
  <si>
    <t>INDEX(Workmatec_Instance_Iteration,MATCH(D2,Workmatec_Instance,0),2)</t>
  </si>
  <si>
    <t>4) Match formula will get the position of selected instance from original name range i.e. Workmatec_Instance</t>
  </si>
  <si>
    <t>*** For use of Instances and Iterations</t>
  </si>
  <si>
    <t>1) Define following three name ranges of Instances and Iterations lists:</t>
  </si>
  <si>
    <t>6) Now change instance from combo box and it will show its related version/iteration</t>
  </si>
  <si>
    <t>3) If you want to get iteration of selected instance then use following formula:</t>
  </si>
  <si>
    <t>5) Index formula will find iteration (from name range of Workmatec_Instance_Iteration) according to the selected instance</t>
  </si>
  <si>
    <t>7) If you delete text of Instance then it will show error in iteration cell. To overcome this error modify formula to:</t>
  </si>
  <si>
    <t>… because in name range of Workmatec_Instance_Iteration two columns are used and iterations are in 2nd column</t>
  </si>
  <si>
    <t>%age Remaining</t>
  </si>
  <si>
    <t>Completed Test</t>
  </si>
  <si>
    <t>Registration Login</t>
  </si>
  <si>
    <t>Personal - Official</t>
  </si>
  <si>
    <t>Email Notifications</t>
  </si>
  <si>
    <t>20Jun2014_0800PM_Staging</t>
  </si>
  <si>
    <t>25Jun2014_0600PM</t>
  </si>
  <si>
    <t>Desktop/Laptop - Windows</t>
  </si>
  <si>
    <t>Desktop/Laptop - Mac</t>
  </si>
  <si>
    <t>Cell Phone - iOS</t>
  </si>
  <si>
    <t>Cell Phone - Android</t>
  </si>
  <si>
    <t>Cell Phone - Windows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</si>
</sst>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m/yyyy"/>
    <numFmt numFmtId="165" formatCode="0.0"/>
    <numFmt numFmtId="166" formatCode="\-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0000FF"/>
      <name val="Calibri"/>
      <family val="2"/>
      <scheme val="minor"/>
    </font>
    <font>
      <sz val="14"/>
      <color rgb="FF00B050"/>
      <name val="Calibri"/>
      <family val="2"/>
      <scheme val="minor"/>
    </font>
    <font>
      <sz val="14"/>
      <color rgb="FF0000FF"/>
      <name val="Calibri"/>
      <family val="2"/>
      <scheme val="minor"/>
    </font>
    <font>
      <sz val="14"/>
      <color rgb="FF7030A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i/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9"/>
      <color indexed="81"/>
      <name val="Tahoma"/>
      <family val="2"/>
    </font>
    <font>
      <b/>
      <u/>
      <sz val="12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0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/>
    <xf numFmtId="0" fontId="2" fillId="0" borderId="0" xfId="0" applyFont="1"/>
    <xf numFmtId="1" fontId="2" fillId="0" borderId="0" xfId="0" applyNumberFormat="1" applyFont="1"/>
    <xf numFmtId="165" fontId="2" fillId="0" borderId="0" xfId="0" applyNumberFormat="1" applyFont="1"/>
    <xf numFmtId="2" fontId="2" fillId="0" borderId="0" xfId="0" applyNumberFormat="1" applyFont="1"/>
    <xf numFmtId="1" fontId="1" fillId="0" borderId="0" xfId="0" applyNumberFormat="1" applyFont="1"/>
    <xf numFmtId="0" fontId="3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4" fontId="10" fillId="0" borderId="1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center" vertical="center" wrapText="1"/>
    </xf>
    <xf numFmtId="0" fontId="7" fillId="0" borderId="1" xfId="0" applyFont="1" applyBorder="1"/>
    <xf numFmtId="0" fontId="4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/>
    </xf>
    <xf numFmtId="1" fontId="11" fillId="0" borderId="4" xfId="0" applyNumberFormat="1" applyFont="1" applyBorder="1" applyAlignment="1">
      <alignment horizontal="center"/>
    </xf>
    <xf numFmtId="1" fontId="11" fillId="0" borderId="5" xfId="0" applyNumberFormat="1" applyFont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15" fontId="12" fillId="2" borderId="6" xfId="0" applyNumberFormat="1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/>
    </xf>
    <xf numFmtId="15" fontId="12" fillId="3" borderId="6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" fontId="13" fillId="0" borderId="2" xfId="0" applyNumberFormat="1" applyFont="1" applyBorder="1" applyAlignment="1">
      <alignment horizontal="center"/>
    </xf>
    <xf numFmtId="0" fontId="7" fillId="0" borderId="2" xfId="0" applyFont="1" applyBorder="1"/>
    <xf numFmtId="164" fontId="10" fillId="0" borderId="2" xfId="0" applyNumberFormat="1" applyFont="1" applyBorder="1" applyAlignment="1">
      <alignment horizontal="center"/>
    </xf>
    <xf numFmtId="0" fontId="9" fillId="0" borderId="2" xfId="0" applyFont="1" applyBorder="1"/>
    <xf numFmtId="1" fontId="13" fillId="0" borderId="1" xfId="0" applyNumberFormat="1" applyFont="1" applyBorder="1"/>
    <xf numFmtId="1" fontId="13" fillId="0" borderId="1" xfId="0" applyNumberFormat="1" applyFont="1" applyBorder="1" applyAlignment="1">
      <alignment horizontal="center"/>
    </xf>
    <xf numFmtId="1" fontId="9" fillId="0" borderId="0" xfId="0" applyNumberFormat="1" applyFont="1"/>
    <xf numFmtId="0" fontId="9" fillId="0" borderId="0" xfId="0" applyFont="1"/>
    <xf numFmtId="1" fontId="9" fillId="0" borderId="1" xfId="0" applyNumberFormat="1" applyFont="1" applyBorder="1"/>
    <xf numFmtId="0" fontId="7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164" fontId="10" fillId="0" borderId="2" xfId="0" applyNumberFormat="1" applyFont="1" applyBorder="1" applyAlignment="1">
      <alignment horizontal="left" vertical="center"/>
    </xf>
    <xf numFmtId="0" fontId="9" fillId="0" borderId="2" xfId="0" applyFont="1" applyBorder="1" applyAlignment="1">
      <alignment horizontal="left" vertical="top"/>
    </xf>
    <xf numFmtId="0" fontId="5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5" fillId="0" borderId="6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7" fillId="0" borderId="1" xfId="0" applyFont="1" applyBorder="1" applyAlignment="1">
      <alignment horizontal="left" vertical="center" wrapText="1"/>
    </xf>
    <xf numFmtId="0" fontId="0" fillId="0" borderId="0" xfId="0"/>
    <xf numFmtId="0" fontId="7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16" fillId="0" borderId="0" xfId="0" applyFont="1" applyAlignment="1"/>
    <xf numFmtId="0" fontId="21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24" fillId="0" borderId="8" xfId="0" applyFont="1" applyBorder="1" applyAlignment="1">
      <alignment horizontal="right" vertical="center"/>
    </xf>
    <xf numFmtId="0" fontId="25" fillId="0" borderId="9" xfId="0" applyFont="1" applyBorder="1" applyAlignment="1">
      <alignment horizontal="left" vertical="center" wrapText="1"/>
    </xf>
    <xf numFmtId="0" fontId="21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right" vertical="center"/>
    </xf>
    <xf numFmtId="0" fontId="25" fillId="0" borderId="11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center" vertical="center"/>
    </xf>
    <xf numFmtId="0" fontId="24" fillId="0" borderId="12" xfId="0" applyFont="1" applyBorder="1" applyAlignment="1">
      <alignment horizontal="right" vertical="center"/>
    </xf>
    <xf numFmtId="0" fontId="25" fillId="0" borderId="13" xfId="0" applyFont="1" applyBorder="1" applyAlignment="1">
      <alignment horizontal="left" vertical="center" wrapText="1"/>
    </xf>
    <xf numFmtId="0" fontId="22" fillId="0" borderId="1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3" fillId="0" borderId="13" xfId="0" applyFont="1" applyBorder="1" applyAlignment="1">
      <alignment horizontal="center" vertical="center"/>
    </xf>
    <xf numFmtId="0" fontId="26" fillId="0" borderId="0" xfId="1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24" fillId="0" borderId="1" xfId="0" applyFont="1" applyBorder="1" applyAlignment="1">
      <alignment horizontal="right" vertical="center"/>
    </xf>
    <xf numFmtId="0" fontId="25" fillId="0" borderId="1" xfId="0" applyFont="1" applyBorder="1" applyAlignment="1">
      <alignment horizontal="left" vertical="center" wrapText="1"/>
    </xf>
    <xf numFmtId="0" fontId="1" fillId="0" borderId="0" xfId="0" applyFont="1" applyAlignment="1">
      <alignment wrapText="1"/>
    </xf>
    <xf numFmtId="0" fontId="1" fillId="0" borderId="0" xfId="0" applyFont="1" applyProtection="1">
      <protection locked="0"/>
    </xf>
    <xf numFmtId="0" fontId="16" fillId="0" borderId="0" xfId="0" applyFont="1" applyAlignment="1" applyProtection="1">
      <alignment vertical="center"/>
      <protection locked="0"/>
    </xf>
    <xf numFmtId="166" fontId="14" fillId="0" borderId="0" xfId="0" applyNumberFormat="1" applyFont="1" applyBorder="1" applyAlignment="1" applyProtection="1">
      <alignment vertical="center" wrapText="1"/>
      <protection locked="0"/>
    </xf>
    <xf numFmtId="0" fontId="18" fillId="0" borderId="0" xfId="1" applyFont="1" applyProtection="1">
      <protection locked="0"/>
    </xf>
    <xf numFmtId="0" fontId="16" fillId="0" borderId="1" xfId="0" applyFont="1" applyBorder="1" applyProtection="1">
      <protection locked="0"/>
    </xf>
    <xf numFmtId="0" fontId="16" fillId="0" borderId="0" xfId="0" applyFont="1" applyBorder="1" applyProtection="1">
      <protection locked="0"/>
    </xf>
    <xf numFmtId="2" fontId="18" fillId="0" borderId="0" xfId="0" applyNumberFormat="1" applyFont="1" applyBorder="1" applyProtection="1"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15" fillId="0" borderId="0" xfId="1" applyProtection="1">
      <protection locked="0"/>
    </xf>
    <xf numFmtId="0" fontId="1" fillId="0" borderId="0" xfId="0" applyFont="1" applyFill="1" applyProtection="1">
      <protection locked="0"/>
    </xf>
    <xf numFmtId="0" fontId="16" fillId="0" borderId="0" xfId="0" applyFont="1" applyProtection="1">
      <protection locked="0"/>
    </xf>
    <xf numFmtId="0" fontId="15" fillId="0" borderId="0" xfId="1" quotePrefix="1" applyProtection="1">
      <protection locked="0"/>
    </xf>
    <xf numFmtId="0" fontId="17" fillId="0" borderId="1" xfId="0" applyFont="1" applyBorder="1" applyProtection="1"/>
    <xf numFmtId="0" fontId="3" fillId="0" borderId="1" xfId="0" applyFont="1" applyBorder="1" applyProtection="1"/>
    <xf numFmtId="0" fontId="16" fillId="0" borderId="1" xfId="0" applyFont="1" applyBorder="1" applyProtection="1"/>
    <xf numFmtId="2" fontId="18" fillId="0" borderId="1" xfId="0" applyNumberFormat="1" applyFont="1" applyBorder="1" applyProtection="1"/>
    <xf numFmtId="0" fontId="16" fillId="0" borderId="0" xfId="0" applyFont="1" applyAlignment="1" applyProtection="1">
      <alignment horizontal="left" vertical="center"/>
    </xf>
    <xf numFmtId="0" fontId="16" fillId="0" borderId="3" xfId="0" applyFont="1" applyBorder="1" applyAlignment="1" applyProtection="1">
      <alignment horizontal="left" vertical="center"/>
      <protection locked="0"/>
    </xf>
    <xf numFmtId="0" fontId="16" fillId="0" borderId="6" xfId="0" applyFont="1" applyBorder="1" applyAlignment="1" applyProtection="1">
      <alignment horizontal="left" vertical="center"/>
      <protection locked="0"/>
    </xf>
    <xf numFmtId="166" fontId="14" fillId="0" borderId="0" xfId="0" applyNumberFormat="1" applyFont="1" applyBorder="1" applyAlignment="1" applyProtection="1">
      <alignment horizontal="left" vertical="center" wrapText="1"/>
    </xf>
  </cellXfs>
  <cellStyles count="2">
    <cellStyle name="Hyperlink" xfId="1" builtinId="8"/>
    <cellStyle name="Normal" xfId="0" builtinId="0"/>
  </cellStyles>
  <dxfs count="582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Dashboard!$E$14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Dashboard!$H$14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</c:ser>
        <c:ser>
          <c:idx val="1"/>
          <c:order val="1"/>
          <c:tx>
            <c:strRef>
              <c:f>Dashboard!$G$15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Dashboard!$E$14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Dashboard!$E$14</c:f>
              <c:strCache>
                <c:ptCount val="1"/>
                <c:pt idx="0">
                  <c:v>Registration Login</c:v>
                </c:pt>
              </c:strCache>
            </c:strRef>
          </c:cat>
          <c:val>
            <c:numRef>
              <c:f>Dashboard!$H$16</c:f>
              <c:numCache>
                <c:formatCode>General</c:formatCode>
                <c:ptCount val="1"/>
                <c:pt idx="0">
                  <c:v>42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40027008"/>
        <c:axId val="140028544"/>
      </c:barChart>
      <c:catAx>
        <c:axId val="14002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028544"/>
        <c:crosses val="autoZero"/>
        <c:auto val="1"/>
        <c:lblAlgn val="ctr"/>
        <c:lblOffset val="100"/>
        <c:noMultiLvlLbl val="0"/>
      </c:catAx>
      <c:valAx>
        <c:axId val="140028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027008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Dashboard!$G$24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Dashboard!$E$24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Dashboard!$H$24</c:f>
              <c:numCache>
                <c:formatCode>General</c:formatCode>
                <c:ptCount val="1"/>
                <c:pt idx="0">
                  <c:v>177</c:v>
                </c:pt>
              </c:numCache>
            </c:numRef>
          </c:val>
        </c:ser>
        <c:ser>
          <c:idx val="1"/>
          <c:order val="1"/>
          <c:tx>
            <c:strRef>
              <c:f>Dashboard!$G$25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Dashboard!$E$24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2"/>
          <c:order val="2"/>
          <c:tx>
            <c:strRef>
              <c:f>Dashboard!$G$26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Dashboard!$E$24</c:f>
              <c:strCache>
                <c:ptCount val="1"/>
                <c:pt idx="0">
                  <c:v>Add new task</c:v>
                </c:pt>
              </c:strCache>
            </c:strRef>
          </c:cat>
          <c:val>
            <c:numRef>
              <c:f>Dashboard!$H$26</c:f>
              <c:numCache>
                <c:formatCode>General</c:formatCode>
                <c:ptCount val="1"/>
                <c:pt idx="0">
                  <c:v>246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40068352"/>
        <c:axId val="140069888"/>
      </c:barChart>
      <c:catAx>
        <c:axId val="14006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069888"/>
        <c:crosses val="autoZero"/>
        <c:auto val="1"/>
        <c:lblAlgn val="ctr"/>
        <c:lblOffset val="100"/>
        <c:noMultiLvlLbl val="0"/>
      </c:catAx>
      <c:valAx>
        <c:axId val="14006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06835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Dashboard!$G$34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Dashboard!$E$35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Dashboard!$G$35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Dashboard!$E$35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Dashboard!$G$36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Dashboard!$E$35</c:f>
              <c:strCache>
                <c:ptCount val="1"/>
                <c:pt idx="0">
                  <c:v>Personal</c:v>
                </c:pt>
              </c:strCache>
            </c:strRef>
          </c:cat>
          <c:val>
            <c:numRef>
              <c:f>Dashboard!$H$36</c:f>
              <c:numCache>
                <c:formatCode>General</c:formatCode>
                <c:ptCount val="1"/>
                <c:pt idx="0">
                  <c:v>160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40109696"/>
        <c:axId val="140111232"/>
      </c:barChart>
      <c:catAx>
        <c:axId val="140109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111232"/>
        <c:crosses val="autoZero"/>
        <c:auto val="1"/>
        <c:lblAlgn val="ctr"/>
        <c:lblOffset val="100"/>
        <c:noMultiLvlLbl val="0"/>
      </c:catAx>
      <c:valAx>
        <c:axId val="14011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109696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Dashboard!$G$42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Dashboard!$E$42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Dashboard!$G$43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Dashboard!$E$42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Dashboard!$G$44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Dashboard!$E$42</c:f>
              <c:strCache>
                <c:ptCount val="1"/>
                <c:pt idx="0">
                  <c:v>Official</c:v>
                </c:pt>
              </c:strCache>
            </c:strRef>
          </c:cat>
          <c:val>
            <c:numRef>
              <c:f>Dashboard!$H$44</c:f>
              <c:numCache>
                <c:formatCode>General</c:formatCode>
                <c:ptCount val="1"/>
                <c:pt idx="0">
                  <c:v>160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40142848"/>
        <c:axId val="140161024"/>
      </c:barChart>
      <c:catAx>
        <c:axId val="140142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161024"/>
        <c:crosses val="autoZero"/>
        <c:auto val="1"/>
        <c:lblAlgn val="ctr"/>
        <c:lblOffset val="100"/>
        <c:noMultiLvlLbl val="0"/>
      </c:catAx>
      <c:valAx>
        <c:axId val="14016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142848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Dashboard!$G$52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Dashboard!$E$52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Dashboard!$G$53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Dashboard!$E$52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Dashboard!$G$54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Dashboard!$E$52</c:f>
              <c:strCache>
                <c:ptCount val="1"/>
                <c:pt idx="0">
                  <c:v>Analytics</c:v>
                </c:pt>
              </c:strCache>
            </c:strRef>
          </c:cat>
          <c:val>
            <c:numRef>
              <c:f>Dashboard!$H$54</c:f>
              <c:numCache>
                <c:formatCode>General</c:formatCode>
                <c:ptCount val="1"/>
                <c:pt idx="0">
                  <c:v>62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9729536"/>
        <c:axId val="139739520"/>
      </c:barChart>
      <c:catAx>
        <c:axId val="13972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9739520"/>
        <c:crosses val="autoZero"/>
        <c:auto val="1"/>
        <c:lblAlgn val="ctr"/>
        <c:lblOffset val="100"/>
        <c:noMultiLvlLbl val="0"/>
      </c:catAx>
      <c:valAx>
        <c:axId val="13973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729536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Dashboard!$G$62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Dashboard!$E$62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Dashboard!$G$63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Dashboard!$E$62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Dashboard!$G$64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Dashboard!$E$62</c:f>
              <c:strCache>
                <c:ptCount val="1"/>
                <c:pt idx="0">
                  <c:v>I am following</c:v>
                </c:pt>
              </c:strCache>
            </c:strRef>
          </c:cat>
          <c:val>
            <c:numRef>
              <c:f>Dashboard!$H$64</c:f>
              <c:numCache>
                <c:formatCode>General</c:formatCode>
                <c:ptCount val="1"/>
                <c:pt idx="0">
                  <c:v>27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9779456"/>
        <c:axId val="139859072"/>
      </c:barChart>
      <c:catAx>
        <c:axId val="139779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9859072"/>
        <c:crosses val="autoZero"/>
        <c:auto val="1"/>
        <c:lblAlgn val="ctr"/>
        <c:lblOffset val="100"/>
        <c:noMultiLvlLbl val="0"/>
      </c:catAx>
      <c:valAx>
        <c:axId val="139859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779456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Dashboard!$G$72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Dashboard!$E$72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Dashboard!$G$73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Dashboard!$E$72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Dashboard!$G$74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Dashboard!$E$72</c:f>
              <c:strCache>
                <c:ptCount val="1"/>
                <c:pt idx="0">
                  <c:v>Documents</c:v>
                </c:pt>
              </c:strCache>
            </c:strRef>
          </c:cat>
          <c:val>
            <c:numRef>
              <c:f>Dashboard!$H$74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9885952"/>
        <c:axId val="139904128"/>
      </c:barChart>
      <c:catAx>
        <c:axId val="13988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9904128"/>
        <c:crosses val="autoZero"/>
        <c:auto val="1"/>
        <c:lblAlgn val="ctr"/>
        <c:lblOffset val="100"/>
        <c:noMultiLvlLbl val="0"/>
      </c:catAx>
      <c:valAx>
        <c:axId val="13990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88595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Dashboard!$G$82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Dashboard!$E$82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Dashboard!$G$83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Dashboard!$E$82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Dashboard!$G$84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Dashboard!$E$82</c:f>
              <c:strCache>
                <c:ptCount val="1"/>
                <c:pt idx="0">
                  <c:v>Calendar</c:v>
                </c:pt>
              </c:strCache>
            </c:strRef>
          </c:cat>
          <c:val>
            <c:numRef>
              <c:f>Dashboard!$H$84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9935744"/>
        <c:axId val="139937280"/>
      </c:barChart>
      <c:catAx>
        <c:axId val="13993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9937280"/>
        <c:crosses val="autoZero"/>
        <c:auto val="1"/>
        <c:lblAlgn val="ctr"/>
        <c:lblOffset val="100"/>
        <c:noMultiLvlLbl val="0"/>
      </c:catAx>
      <c:valAx>
        <c:axId val="13993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935744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Dashboard!$G$92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Dashboard!$E$92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Dashboard!$G$93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Dashboard!$E$92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Dashboard!$G$94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Dashboard!$E$92</c:f>
              <c:strCache>
                <c:ptCount val="1"/>
                <c:pt idx="0">
                  <c:v>Notifications</c:v>
                </c:pt>
              </c:strCache>
            </c:strRef>
          </c:cat>
          <c:val>
            <c:numRef>
              <c:f>Dashboard!$H$94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9976704"/>
        <c:axId val="139978240"/>
      </c:barChart>
      <c:catAx>
        <c:axId val="13997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9978240"/>
        <c:crosses val="autoZero"/>
        <c:auto val="1"/>
        <c:lblAlgn val="ctr"/>
        <c:lblOffset val="100"/>
        <c:noMultiLvlLbl val="0"/>
      </c:catAx>
      <c:valAx>
        <c:axId val="13997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976704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Dashboard!$G$102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Dashboard!$E$102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Dashboard!$G$103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Dashboard!$E$102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Dashboard!$G$104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Dashboard!$E$102</c:f>
              <c:strCache>
                <c:ptCount val="1"/>
                <c:pt idx="0">
                  <c:v>Repository</c:v>
                </c:pt>
              </c:strCache>
            </c:strRef>
          </c:cat>
          <c:val>
            <c:numRef>
              <c:f>Dashboard!$H$104</c:f>
              <c:numCache>
                <c:formatCode>General</c:formatCode>
                <c:ptCount val="1"/>
                <c:pt idx="0">
                  <c:v>91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40226944"/>
        <c:axId val="140228480"/>
      </c:barChart>
      <c:catAx>
        <c:axId val="14022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228480"/>
        <c:crosses val="autoZero"/>
        <c:auto val="1"/>
        <c:lblAlgn val="ctr"/>
        <c:lblOffset val="100"/>
        <c:noMultiLvlLbl val="0"/>
      </c:catAx>
      <c:valAx>
        <c:axId val="140228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226944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Dashboard!$G$112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Dashboard!$E$112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Dashboard!$G$113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Dashboard!$E$112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Dashboard!$G$114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Dashboard!$E$112</c:f>
              <c:strCache>
                <c:ptCount val="1"/>
                <c:pt idx="0">
                  <c:v>Toolbar</c:v>
                </c:pt>
              </c:strCache>
            </c:strRef>
          </c:cat>
          <c:val>
            <c:numRef>
              <c:f>Dashboard!$H$114</c:f>
              <c:numCache>
                <c:formatCode>General</c:formatCode>
                <c:ptCount val="1"/>
                <c:pt idx="0">
                  <c:v>142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40284672"/>
        <c:axId val="140286208"/>
      </c:barChart>
      <c:catAx>
        <c:axId val="14028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286208"/>
        <c:crosses val="autoZero"/>
        <c:auto val="1"/>
        <c:lblAlgn val="ctr"/>
        <c:lblOffset val="100"/>
        <c:noMultiLvlLbl val="0"/>
      </c:catAx>
      <c:valAx>
        <c:axId val="140286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284672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Dashboard!$G$122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Dashboard!$E$122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Dashboard!$G$123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Dashboard!$E$122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Dashboard!$G$124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Dashboard!$E$122</c:f>
              <c:strCache>
                <c:ptCount val="1"/>
                <c:pt idx="0">
                  <c:v>Email Notifications</c:v>
                </c:pt>
              </c:strCache>
            </c:strRef>
          </c:cat>
          <c:val>
            <c:numRef>
              <c:f>Dashboard!$H$124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40317824"/>
        <c:axId val="140319360"/>
      </c:barChart>
      <c:catAx>
        <c:axId val="14031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319360"/>
        <c:crosses val="autoZero"/>
        <c:auto val="1"/>
        <c:lblAlgn val="ctr"/>
        <c:lblOffset val="100"/>
        <c:noMultiLvlLbl val="0"/>
      </c:catAx>
      <c:valAx>
        <c:axId val="14031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317824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Dashboard!$G$4</c:f>
              <c:strCache>
                <c:ptCount val="1"/>
                <c:pt idx="0">
                  <c:v>Pass Count</c:v>
                </c:pt>
              </c:strCache>
            </c:strRef>
          </c:tx>
          <c:invertIfNegative val="0"/>
          <c:cat>
            <c:strRef>
              <c:f>Dashboard!$E$4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Dashboard!$H$4</c:f>
              <c:numCache>
                <c:formatCode>General</c:formatCode>
                <c:ptCount val="1"/>
                <c:pt idx="0">
                  <c:v>214</c:v>
                </c:pt>
              </c:numCache>
            </c:numRef>
          </c:val>
        </c:ser>
        <c:ser>
          <c:idx val="1"/>
          <c:order val="1"/>
          <c:tx>
            <c:strRef>
              <c:f>Dashboard!$G$5</c:f>
              <c:strCache>
                <c:ptCount val="1"/>
                <c:pt idx="0">
                  <c:v>Fail Count</c:v>
                </c:pt>
              </c:strCache>
            </c:strRef>
          </c:tx>
          <c:invertIfNegative val="0"/>
          <c:cat>
            <c:strRef>
              <c:f>Dashboard!$E$4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2"/>
          <c:order val="2"/>
          <c:tx>
            <c:strRef>
              <c:f>Dashboard!$G$6</c:f>
              <c:strCache>
                <c:ptCount val="1"/>
                <c:pt idx="0">
                  <c:v>Total Tests</c:v>
                </c:pt>
              </c:strCache>
            </c:strRef>
          </c:tx>
          <c:invertIfNegative val="0"/>
          <c:cat>
            <c:strRef>
              <c:f>Dashboard!$E$4</c:f>
              <c:strCache>
                <c:ptCount val="1"/>
                <c:pt idx="0">
                  <c:v>COMBINED RESULT</c:v>
                </c:pt>
              </c:strCache>
            </c:strRef>
          </c:cat>
          <c:val>
            <c:numRef>
              <c:f>Dashboard!$H$6</c:f>
              <c:numCache>
                <c:formatCode>General</c:formatCode>
                <c:ptCount val="1"/>
                <c:pt idx="0">
                  <c:v>987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40383744"/>
        <c:axId val="140385280"/>
      </c:barChart>
      <c:catAx>
        <c:axId val="14038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385280"/>
        <c:crosses val="autoZero"/>
        <c:auto val="1"/>
        <c:lblAlgn val="ctr"/>
        <c:lblOffset val="100"/>
        <c:noMultiLvlLbl val="0"/>
      </c:catAx>
      <c:valAx>
        <c:axId val="140385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383744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600075</xdr:colOff>
      <xdr:row>13</xdr:row>
      <xdr:rowOff>38100</xdr:rowOff>
    </xdr:from>
    <xdr:to>
      <xdr:col>14</xdr:col>
      <xdr:colOff>495300</xdr:colOff>
      <xdr:row>19</xdr:row>
      <xdr:rowOff>171450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590550</xdr:colOff>
      <xdr:row>23</xdr:row>
      <xdr:rowOff>28575</xdr:rowOff>
    </xdr:from>
    <xdr:to>
      <xdr:col>14</xdr:col>
      <xdr:colOff>485775</xdr:colOff>
      <xdr:row>29</xdr:row>
      <xdr:rowOff>161925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600075</xdr:colOff>
      <xdr:row>32</xdr:row>
      <xdr:rowOff>228600</xdr:rowOff>
    </xdr:from>
    <xdr:to>
      <xdr:col>14</xdr:col>
      <xdr:colOff>495300</xdr:colOff>
      <xdr:row>39</xdr:row>
      <xdr:rowOff>123825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9525</xdr:colOff>
      <xdr:row>41</xdr:row>
      <xdr:rowOff>38100</xdr:rowOff>
    </xdr:from>
    <xdr:to>
      <xdr:col>14</xdr:col>
      <xdr:colOff>514350</xdr:colOff>
      <xdr:row>47</xdr:row>
      <xdr:rowOff>171450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28575</xdr:colOff>
      <xdr:row>51</xdr:row>
      <xdr:rowOff>38100</xdr:rowOff>
    </xdr:from>
    <xdr:to>
      <xdr:col>14</xdr:col>
      <xdr:colOff>533400</xdr:colOff>
      <xdr:row>57</xdr:row>
      <xdr:rowOff>171450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61</xdr:row>
      <xdr:rowOff>0</xdr:rowOff>
    </xdr:from>
    <xdr:to>
      <xdr:col>14</xdr:col>
      <xdr:colOff>504825</xdr:colOff>
      <xdr:row>67</xdr:row>
      <xdr:rowOff>133350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71</xdr:row>
      <xdr:rowOff>0</xdr:rowOff>
    </xdr:from>
    <xdr:to>
      <xdr:col>14</xdr:col>
      <xdr:colOff>504825</xdr:colOff>
      <xdr:row>77</xdr:row>
      <xdr:rowOff>133350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81</xdr:row>
      <xdr:rowOff>0</xdr:rowOff>
    </xdr:from>
    <xdr:to>
      <xdr:col>14</xdr:col>
      <xdr:colOff>504825</xdr:colOff>
      <xdr:row>87</xdr:row>
      <xdr:rowOff>133350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91</xdr:row>
      <xdr:rowOff>0</xdr:rowOff>
    </xdr:from>
    <xdr:to>
      <xdr:col>14</xdr:col>
      <xdr:colOff>504825</xdr:colOff>
      <xdr:row>97</xdr:row>
      <xdr:rowOff>133350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101</xdr:row>
      <xdr:rowOff>0</xdr:rowOff>
    </xdr:from>
    <xdr:to>
      <xdr:col>14</xdr:col>
      <xdr:colOff>504825</xdr:colOff>
      <xdr:row>107</xdr:row>
      <xdr:rowOff>133350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111</xdr:row>
      <xdr:rowOff>0</xdr:rowOff>
    </xdr:from>
    <xdr:to>
      <xdr:col>14</xdr:col>
      <xdr:colOff>504825</xdr:colOff>
      <xdr:row>117</xdr:row>
      <xdr:rowOff>133350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121</xdr:row>
      <xdr:rowOff>0</xdr:rowOff>
    </xdr:from>
    <xdr:to>
      <xdr:col>14</xdr:col>
      <xdr:colOff>504825</xdr:colOff>
      <xdr:row>127</xdr:row>
      <xdr:rowOff>133350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14</xdr:col>
      <xdr:colOff>504825</xdr:colOff>
      <xdr:row>9</xdr:row>
      <xdr:rowOff>133350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1:M128"/>
  <sheetViews>
    <sheetView showGridLines="0" topLeftCell="A7" workbookViewId="0">
      <selection activeCell="E10" sqref="E10"/>
    </sheetView>
  </sheetViews>
  <sheetFormatPr defaultRowHeight="15.75" x14ac:dyDescent="0.25"/>
  <cols>
    <col min="1" max="4" width="9.140625" style="87"/>
    <col min="5" max="5" width="23.28515625" style="87" bestFit="1" customWidth="1"/>
    <col min="6" max="6" width="9.140625" style="87"/>
    <col min="7" max="7" width="17.5703125" style="87" customWidth="1"/>
    <col min="8" max="8" width="7.28515625" style="87" bestFit="1" customWidth="1"/>
    <col min="9" max="16384" width="9.140625" style="87"/>
  </cols>
  <sheetData>
    <row r="1" spans="4:9" ht="16.5" thickBot="1" x14ac:dyDescent="0.3">
      <c r="E1" s="104" t="s">
        <v>631</v>
      </c>
      <c r="F1" s="105"/>
      <c r="H1" s="88"/>
      <c r="I1" s="88"/>
    </row>
    <row r="3" spans="4:9" ht="18.75" customHeight="1" x14ac:dyDescent="0.25">
      <c r="G3" s="89"/>
      <c r="H3" s="89"/>
      <c r="I3" s="89"/>
    </row>
    <row r="4" spans="4:9" x14ac:dyDescent="0.25">
      <c r="E4" s="90" t="s">
        <v>527</v>
      </c>
      <c r="G4" s="91" t="s">
        <v>522</v>
      </c>
      <c r="H4" s="99">
        <f>+H14+H24+H34+H42+H52+H62+H72+H82+H92+H102+H112+H122</f>
        <v>214</v>
      </c>
    </row>
    <row r="5" spans="4:9" x14ac:dyDescent="0.25">
      <c r="G5" s="91" t="s">
        <v>523</v>
      </c>
      <c r="H5" s="100">
        <f>+H15+H25+H35+H43+H53+H63+H73+H83+H93+H103+H113+H123</f>
        <v>6</v>
      </c>
    </row>
    <row r="6" spans="4:9" x14ac:dyDescent="0.25">
      <c r="G6" s="91" t="s">
        <v>524</v>
      </c>
      <c r="H6" s="101">
        <f>+H16+H26+H36+H44+H54+H64+H74+H84+H94+H104+H114+H124</f>
        <v>987</v>
      </c>
    </row>
    <row r="7" spans="4:9" x14ac:dyDescent="0.25">
      <c r="G7" s="91" t="s">
        <v>525</v>
      </c>
      <c r="H7" s="101">
        <f>+H17+H27+H37+H45+H55+H65+H75+H85+H95+H105+H115+H125</f>
        <v>767</v>
      </c>
    </row>
    <row r="8" spans="4:9" x14ac:dyDescent="0.25">
      <c r="G8" s="91" t="s">
        <v>622</v>
      </c>
      <c r="H8" s="101">
        <f>+H18+H28+H38+H46+H56+H66+H76+H86+H96+H106+H116+H126</f>
        <v>220</v>
      </c>
    </row>
    <row r="9" spans="4:9" x14ac:dyDescent="0.25">
      <c r="G9" s="91" t="s">
        <v>526</v>
      </c>
      <c r="H9" s="102">
        <f>+H8/H6*100</f>
        <v>22.289766970618036</v>
      </c>
    </row>
    <row r="10" spans="4:9" x14ac:dyDescent="0.25">
      <c r="G10" s="91" t="s">
        <v>621</v>
      </c>
      <c r="H10" s="102">
        <f>+H7/H6*100</f>
        <v>77.710233029381968</v>
      </c>
    </row>
    <row r="11" spans="4:9" x14ac:dyDescent="0.25">
      <c r="G11" s="92"/>
      <c r="H11" s="93"/>
    </row>
    <row r="13" spans="4:9" ht="18.75" x14ac:dyDescent="0.25">
      <c r="G13" s="106" t="str">
        <f>+'Registration - Login'!D1</f>
        <v>Mohsin Asif</v>
      </c>
      <c r="H13" s="106"/>
      <c r="I13" s="106"/>
    </row>
    <row r="14" spans="4:9" x14ac:dyDescent="0.25">
      <c r="D14" s="94">
        <v>1</v>
      </c>
      <c r="E14" s="95" t="s">
        <v>623</v>
      </c>
      <c r="G14" s="91" t="s">
        <v>522</v>
      </c>
      <c r="H14" s="99">
        <f>+'Registration - Login'!G1</f>
        <v>37</v>
      </c>
    </row>
    <row r="15" spans="4:9" x14ac:dyDescent="0.25">
      <c r="G15" s="91" t="s">
        <v>523</v>
      </c>
      <c r="H15" s="100">
        <f>+'Registration - Login'!G2</f>
        <v>0</v>
      </c>
    </row>
    <row r="16" spans="4:9" x14ac:dyDescent="0.25">
      <c r="G16" s="91" t="s">
        <v>524</v>
      </c>
      <c r="H16" s="101">
        <f>+'Registration - Login'!G3</f>
        <v>42</v>
      </c>
    </row>
    <row r="17" spans="4:13" x14ac:dyDescent="0.25">
      <c r="G17" s="91" t="s">
        <v>525</v>
      </c>
      <c r="H17" s="101">
        <f>+'Registration - Login'!G4</f>
        <v>5</v>
      </c>
    </row>
    <row r="18" spans="4:13" x14ac:dyDescent="0.25">
      <c r="G18" s="91" t="s">
        <v>622</v>
      </c>
      <c r="H18" s="101">
        <f>+H14+H15</f>
        <v>37</v>
      </c>
    </row>
    <row r="19" spans="4:13" x14ac:dyDescent="0.25">
      <c r="G19" s="91" t="s">
        <v>526</v>
      </c>
      <c r="H19" s="102">
        <f>+H18/H16*100</f>
        <v>88.095238095238088</v>
      </c>
    </row>
    <row r="20" spans="4:13" x14ac:dyDescent="0.25">
      <c r="G20" s="91" t="s">
        <v>621</v>
      </c>
      <c r="H20" s="102">
        <f>+H17/H16*100</f>
        <v>11.904761904761903</v>
      </c>
    </row>
    <row r="21" spans="4:13" x14ac:dyDescent="0.25">
      <c r="G21" s="92"/>
      <c r="H21" s="93"/>
    </row>
    <row r="23" spans="4:13" ht="18.75" x14ac:dyDescent="0.25">
      <c r="G23" s="106" t="str">
        <f>+'Add new task'!D1</f>
        <v>Mohsin Asif</v>
      </c>
      <c r="H23" s="106"/>
      <c r="I23" s="106"/>
    </row>
    <row r="24" spans="4:13" x14ac:dyDescent="0.25">
      <c r="D24" s="103">
        <f>+D14+1</f>
        <v>2</v>
      </c>
      <c r="E24" s="95" t="s">
        <v>102</v>
      </c>
      <c r="G24" s="91" t="s">
        <v>522</v>
      </c>
      <c r="H24" s="99">
        <f>+'Add new task'!G1</f>
        <v>177</v>
      </c>
    </row>
    <row r="25" spans="4:13" x14ac:dyDescent="0.25">
      <c r="G25" s="91" t="s">
        <v>523</v>
      </c>
      <c r="H25" s="100">
        <f>+'Add new task'!G2</f>
        <v>6</v>
      </c>
    </row>
    <row r="26" spans="4:13" x14ac:dyDescent="0.25">
      <c r="G26" s="91" t="s">
        <v>524</v>
      </c>
      <c r="H26" s="101">
        <f>+'Add new task'!G3</f>
        <v>246</v>
      </c>
    </row>
    <row r="27" spans="4:13" x14ac:dyDescent="0.25">
      <c r="G27" s="91" t="s">
        <v>525</v>
      </c>
      <c r="H27" s="101">
        <f>+'Add new task'!G4</f>
        <v>63</v>
      </c>
    </row>
    <row r="28" spans="4:13" x14ac:dyDescent="0.25">
      <c r="G28" s="91" t="s">
        <v>622</v>
      </c>
      <c r="H28" s="101">
        <f>+H24+H25</f>
        <v>183</v>
      </c>
    </row>
    <row r="29" spans="4:13" x14ac:dyDescent="0.25">
      <c r="G29" s="91" t="s">
        <v>526</v>
      </c>
      <c r="H29" s="102">
        <f>+H28/H26*100</f>
        <v>74.390243902439025</v>
      </c>
    </row>
    <row r="30" spans="4:13" x14ac:dyDescent="0.25">
      <c r="G30" s="91" t="s">
        <v>621</v>
      </c>
      <c r="H30" s="102">
        <f>+H27/H26*100</f>
        <v>25.609756097560975</v>
      </c>
    </row>
    <row r="31" spans="4:13" x14ac:dyDescent="0.25">
      <c r="G31" s="92"/>
      <c r="H31" s="93"/>
    </row>
    <row r="32" spans="4:13" x14ac:dyDescent="0.25">
      <c r="G32" s="92"/>
      <c r="H32" s="93"/>
      <c r="J32" s="96"/>
      <c r="K32" s="96"/>
      <c r="L32" s="96"/>
      <c r="M32" s="96"/>
    </row>
    <row r="33" spans="4:9" ht="18.75" x14ac:dyDescent="0.25">
      <c r="G33" s="106">
        <f>+'Personal - Official'!D1</f>
        <v>0</v>
      </c>
      <c r="H33" s="106"/>
      <c r="I33" s="106"/>
    </row>
    <row r="34" spans="4:9" x14ac:dyDescent="0.25">
      <c r="D34" s="103">
        <f>+D24+1</f>
        <v>3</v>
      </c>
      <c r="E34" s="95" t="s">
        <v>624</v>
      </c>
      <c r="G34" s="91" t="s">
        <v>522</v>
      </c>
      <c r="H34" s="99">
        <f>+'Personal - Official'!G1</f>
        <v>0</v>
      </c>
    </row>
    <row r="35" spans="4:9" x14ac:dyDescent="0.25">
      <c r="E35" s="97" t="s">
        <v>15</v>
      </c>
      <c r="G35" s="91" t="s">
        <v>523</v>
      </c>
      <c r="H35" s="100">
        <f>+'Personal - Official'!G2</f>
        <v>0</v>
      </c>
    </row>
    <row r="36" spans="4:9" x14ac:dyDescent="0.25">
      <c r="G36" s="91" t="s">
        <v>524</v>
      </c>
      <c r="H36" s="101">
        <f>+'Personal - Official'!G3</f>
        <v>160</v>
      </c>
    </row>
    <row r="37" spans="4:9" x14ac:dyDescent="0.25">
      <c r="G37" s="91" t="s">
        <v>525</v>
      </c>
      <c r="H37" s="101">
        <f>+'Personal - Official'!G4</f>
        <v>160</v>
      </c>
    </row>
    <row r="38" spans="4:9" x14ac:dyDescent="0.25">
      <c r="G38" s="91" t="s">
        <v>622</v>
      </c>
      <c r="H38" s="101">
        <f>+H34+H35</f>
        <v>0</v>
      </c>
    </row>
    <row r="39" spans="4:9" x14ac:dyDescent="0.25">
      <c r="G39" s="91" t="s">
        <v>526</v>
      </c>
      <c r="H39" s="102">
        <f>+H38/H36*100</f>
        <v>0</v>
      </c>
    </row>
    <row r="40" spans="4:9" x14ac:dyDescent="0.25">
      <c r="G40" s="91" t="s">
        <v>621</v>
      </c>
      <c r="H40" s="102">
        <f>+H37/H36*100</f>
        <v>100</v>
      </c>
    </row>
    <row r="41" spans="4:9" x14ac:dyDescent="0.25">
      <c r="G41" s="92"/>
      <c r="H41" s="93"/>
    </row>
    <row r="42" spans="4:9" x14ac:dyDescent="0.25">
      <c r="E42" s="97" t="s">
        <v>20</v>
      </c>
      <c r="G42" s="91" t="s">
        <v>522</v>
      </c>
      <c r="H42" s="99">
        <f>+'Personal - Official'!I1</f>
        <v>0</v>
      </c>
    </row>
    <row r="43" spans="4:9" x14ac:dyDescent="0.25">
      <c r="G43" s="91" t="s">
        <v>523</v>
      </c>
      <c r="H43" s="100">
        <f>+'Personal - Official'!I2</f>
        <v>0</v>
      </c>
    </row>
    <row r="44" spans="4:9" x14ac:dyDescent="0.25">
      <c r="G44" s="91" t="s">
        <v>524</v>
      </c>
      <c r="H44" s="101">
        <f>+'Personal - Official'!I3</f>
        <v>160</v>
      </c>
    </row>
    <row r="45" spans="4:9" x14ac:dyDescent="0.25">
      <c r="G45" s="91" t="s">
        <v>525</v>
      </c>
      <c r="H45" s="101">
        <f>+'Personal - Official'!I4</f>
        <v>160</v>
      </c>
    </row>
    <row r="46" spans="4:9" x14ac:dyDescent="0.25">
      <c r="G46" s="91" t="s">
        <v>622</v>
      </c>
      <c r="H46" s="101">
        <f>+H42+H43</f>
        <v>0</v>
      </c>
    </row>
    <row r="47" spans="4:9" x14ac:dyDescent="0.25">
      <c r="G47" s="91" t="s">
        <v>526</v>
      </c>
      <c r="H47" s="102">
        <f>+H46/H44*100</f>
        <v>0</v>
      </c>
    </row>
    <row r="48" spans="4:9" x14ac:dyDescent="0.25">
      <c r="G48" s="91" t="s">
        <v>621</v>
      </c>
      <c r="H48" s="102">
        <f>+H45/H44*100</f>
        <v>100</v>
      </c>
    </row>
    <row r="49" spans="4:9" x14ac:dyDescent="0.25">
      <c r="G49" s="92"/>
      <c r="H49" s="93"/>
    </row>
    <row r="50" spans="4:9" x14ac:dyDescent="0.25">
      <c r="G50" s="92"/>
      <c r="H50" s="93"/>
    </row>
    <row r="51" spans="4:9" ht="18.75" x14ac:dyDescent="0.25">
      <c r="G51" s="106">
        <f>+Analytics!D1</f>
        <v>0</v>
      </c>
      <c r="H51" s="106"/>
      <c r="I51" s="106"/>
    </row>
    <row r="52" spans="4:9" x14ac:dyDescent="0.25">
      <c r="D52" s="103">
        <f>+D34+1</f>
        <v>4</v>
      </c>
      <c r="E52" s="95" t="s">
        <v>59</v>
      </c>
      <c r="G52" s="91" t="s">
        <v>522</v>
      </c>
      <c r="H52" s="99">
        <f>+Analytics!G1</f>
        <v>0</v>
      </c>
    </row>
    <row r="53" spans="4:9" x14ac:dyDescent="0.25">
      <c r="G53" s="91" t="s">
        <v>523</v>
      </c>
      <c r="H53" s="100">
        <f>+Analytics!G2</f>
        <v>0</v>
      </c>
    </row>
    <row r="54" spans="4:9" x14ac:dyDescent="0.25">
      <c r="G54" s="91" t="s">
        <v>524</v>
      </c>
      <c r="H54" s="101">
        <f>+Analytics!G3</f>
        <v>62</v>
      </c>
    </row>
    <row r="55" spans="4:9" x14ac:dyDescent="0.25">
      <c r="G55" s="91" t="s">
        <v>525</v>
      </c>
      <c r="H55" s="101">
        <f>+Analytics!G4</f>
        <v>62</v>
      </c>
    </row>
    <row r="56" spans="4:9" x14ac:dyDescent="0.25">
      <c r="G56" s="91" t="s">
        <v>622</v>
      </c>
      <c r="H56" s="101">
        <f>+H52+H53</f>
        <v>0</v>
      </c>
    </row>
    <row r="57" spans="4:9" x14ac:dyDescent="0.25">
      <c r="G57" s="91" t="s">
        <v>526</v>
      </c>
      <c r="H57" s="102">
        <f>+H56/H54*100</f>
        <v>0</v>
      </c>
    </row>
    <row r="58" spans="4:9" x14ac:dyDescent="0.25">
      <c r="G58" s="91" t="s">
        <v>621</v>
      </c>
      <c r="H58" s="102">
        <f>+H55/H54*100</f>
        <v>100</v>
      </c>
    </row>
    <row r="59" spans="4:9" x14ac:dyDescent="0.25">
      <c r="G59" s="92"/>
      <c r="H59" s="93"/>
    </row>
    <row r="61" spans="4:9" ht="18.75" x14ac:dyDescent="0.25">
      <c r="G61" s="106">
        <f>+'I am following'!D1</f>
        <v>0</v>
      </c>
      <c r="H61" s="106"/>
      <c r="I61" s="106"/>
    </row>
    <row r="62" spans="4:9" x14ac:dyDescent="0.25">
      <c r="D62" s="103">
        <f>+D52+1</f>
        <v>5</v>
      </c>
      <c r="E62" s="95" t="s">
        <v>21</v>
      </c>
      <c r="G62" s="91" t="s">
        <v>522</v>
      </c>
      <c r="H62" s="99">
        <f>+'I am following'!G1</f>
        <v>0</v>
      </c>
    </row>
    <row r="63" spans="4:9" x14ac:dyDescent="0.25">
      <c r="G63" s="91" t="s">
        <v>523</v>
      </c>
      <c r="H63" s="100">
        <f>+'I am following'!G2</f>
        <v>0</v>
      </c>
    </row>
    <row r="64" spans="4:9" x14ac:dyDescent="0.25">
      <c r="G64" s="91" t="s">
        <v>524</v>
      </c>
      <c r="H64" s="101">
        <f>+'I am following'!G3</f>
        <v>27</v>
      </c>
    </row>
    <row r="65" spans="4:9" x14ac:dyDescent="0.25">
      <c r="G65" s="91" t="s">
        <v>525</v>
      </c>
      <c r="H65" s="101">
        <f>+'I am following'!G4</f>
        <v>27</v>
      </c>
    </row>
    <row r="66" spans="4:9" x14ac:dyDescent="0.25">
      <c r="G66" s="91" t="s">
        <v>622</v>
      </c>
      <c r="H66" s="101">
        <f>+H62+H63</f>
        <v>0</v>
      </c>
    </row>
    <row r="67" spans="4:9" x14ac:dyDescent="0.25">
      <c r="G67" s="91" t="s">
        <v>526</v>
      </c>
      <c r="H67" s="102">
        <f>+H66/H64*100</f>
        <v>0</v>
      </c>
    </row>
    <row r="68" spans="4:9" x14ac:dyDescent="0.25">
      <c r="G68" s="91" t="s">
        <v>621</v>
      </c>
      <c r="H68" s="102">
        <f>+H65/H64*100</f>
        <v>100</v>
      </c>
    </row>
    <row r="69" spans="4:9" x14ac:dyDescent="0.25">
      <c r="G69" s="92"/>
      <c r="H69" s="93"/>
    </row>
    <row r="71" spans="4:9" ht="18.75" x14ac:dyDescent="0.25">
      <c r="G71" s="106">
        <f>+Documents!D1</f>
        <v>0</v>
      </c>
      <c r="H71" s="106"/>
      <c r="I71" s="106"/>
    </row>
    <row r="72" spans="4:9" x14ac:dyDescent="0.25">
      <c r="D72" s="103">
        <f>+D62+1</f>
        <v>6</v>
      </c>
      <c r="E72" s="95" t="s">
        <v>22</v>
      </c>
      <c r="G72" s="91" t="s">
        <v>522</v>
      </c>
      <c r="H72" s="99">
        <f>+Documents!G1</f>
        <v>0</v>
      </c>
    </row>
    <row r="73" spans="4:9" x14ac:dyDescent="0.25">
      <c r="G73" s="91" t="s">
        <v>523</v>
      </c>
      <c r="H73" s="100">
        <f>+Documents!G2</f>
        <v>0</v>
      </c>
    </row>
    <row r="74" spans="4:9" x14ac:dyDescent="0.25">
      <c r="G74" s="91" t="s">
        <v>524</v>
      </c>
      <c r="H74" s="101">
        <f>+Documents!G3</f>
        <v>19</v>
      </c>
    </row>
    <row r="75" spans="4:9" x14ac:dyDescent="0.25">
      <c r="G75" s="91" t="s">
        <v>525</v>
      </c>
      <c r="H75" s="101">
        <f>+Documents!G4</f>
        <v>19</v>
      </c>
    </row>
    <row r="76" spans="4:9" x14ac:dyDescent="0.25">
      <c r="G76" s="91" t="s">
        <v>622</v>
      </c>
      <c r="H76" s="101">
        <f>+H72+H73</f>
        <v>0</v>
      </c>
    </row>
    <row r="77" spans="4:9" x14ac:dyDescent="0.25">
      <c r="G77" s="91" t="s">
        <v>526</v>
      </c>
      <c r="H77" s="102">
        <f>+H76/H74*100</f>
        <v>0</v>
      </c>
    </row>
    <row r="78" spans="4:9" x14ac:dyDescent="0.25">
      <c r="G78" s="91" t="s">
        <v>621</v>
      </c>
      <c r="H78" s="102">
        <f>+H75/H74*100</f>
        <v>100</v>
      </c>
    </row>
    <row r="79" spans="4:9" x14ac:dyDescent="0.25">
      <c r="G79" s="92"/>
      <c r="H79" s="93"/>
    </row>
    <row r="80" spans="4:9" x14ac:dyDescent="0.25">
      <c r="G80" s="92"/>
      <c r="H80" s="93"/>
    </row>
    <row r="81" spans="4:9" ht="18.75" x14ac:dyDescent="0.25">
      <c r="G81" s="106">
        <f>+Calendar!D1</f>
        <v>0</v>
      </c>
      <c r="H81" s="106"/>
      <c r="I81" s="106"/>
    </row>
    <row r="82" spans="4:9" x14ac:dyDescent="0.25">
      <c r="D82" s="103">
        <f>+D72+1</f>
        <v>7</v>
      </c>
      <c r="E82" s="95" t="s">
        <v>24</v>
      </c>
      <c r="G82" s="91" t="s">
        <v>522</v>
      </c>
      <c r="H82" s="99">
        <f>+Calendar!G1</f>
        <v>0</v>
      </c>
    </row>
    <row r="83" spans="4:9" x14ac:dyDescent="0.25">
      <c r="G83" s="91" t="s">
        <v>523</v>
      </c>
      <c r="H83" s="100">
        <f>+Calendar!G2</f>
        <v>0</v>
      </c>
    </row>
    <row r="84" spans="4:9" x14ac:dyDescent="0.25">
      <c r="G84" s="91" t="s">
        <v>524</v>
      </c>
      <c r="H84" s="101">
        <f>+Calendar!G3</f>
        <v>10</v>
      </c>
    </row>
    <row r="85" spans="4:9" x14ac:dyDescent="0.25">
      <c r="G85" s="91" t="s">
        <v>525</v>
      </c>
      <c r="H85" s="101">
        <f>+Calendar!G4</f>
        <v>10</v>
      </c>
    </row>
    <row r="86" spans="4:9" x14ac:dyDescent="0.25">
      <c r="G86" s="91" t="s">
        <v>622</v>
      </c>
      <c r="H86" s="101">
        <f>+H82+H83</f>
        <v>0</v>
      </c>
    </row>
    <row r="87" spans="4:9" x14ac:dyDescent="0.25">
      <c r="G87" s="91" t="s">
        <v>526</v>
      </c>
      <c r="H87" s="102">
        <f>+H86/H84*100</f>
        <v>0</v>
      </c>
    </row>
    <row r="88" spans="4:9" x14ac:dyDescent="0.25">
      <c r="G88" s="91" t="s">
        <v>621</v>
      </c>
      <c r="H88" s="102">
        <f>+H85/H84*100</f>
        <v>100</v>
      </c>
    </row>
    <row r="89" spans="4:9" x14ac:dyDescent="0.25">
      <c r="G89" s="92"/>
      <c r="H89" s="93"/>
    </row>
    <row r="90" spans="4:9" x14ac:dyDescent="0.25">
      <c r="G90" s="92"/>
      <c r="H90" s="93"/>
    </row>
    <row r="91" spans="4:9" ht="18.75" x14ac:dyDescent="0.25">
      <c r="G91" s="106">
        <f>+Notifications!D1</f>
        <v>0</v>
      </c>
      <c r="H91" s="106"/>
      <c r="I91" s="106"/>
    </row>
    <row r="92" spans="4:9" x14ac:dyDescent="0.25">
      <c r="D92" s="103">
        <f>+D82+1</f>
        <v>8</v>
      </c>
      <c r="E92" s="95" t="s">
        <v>25</v>
      </c>
      <c r="G92" s="91" t="s">
        <v>522</v>
      </c>
      <c r="H92" s="99">
        <f>+Notifications!G1</f>
        <v>0</v>
      </c>
    </row>
    <row r="93" spans="4:9" x14ac:dyDescent="0.25">
      <c r="G93" s="91" t="s">
        <v>523</v>
      </c>
      <c r="H93" s="100">
        <f>+Notifications!G2</f>
        <v>0</v>
      </c>
    </row>
    <row r="94" spans="4:9" x14ac:dyDescent="0.25">
      <c r="G94" s="91" t="s">
        <v>524</v>
      </c>
      <c r="H94" s="101">
        <f>+Notifications!G3</f>
        <v>8</v>
      </c>
    </row>
    <row r="95" spans="4:9" x14ac:dyDescent="0.25">
      <c r="G95" s="91" t="s">
        <v>525</v>
      </c>
      <c r="H95" s="101">
        <f>+Notifications!G4</f>
        <v>8</v>
      </c>
    </row>
    <row r="96" spans="4:9" x14ac:dyDescent="0.25">
      <c r="G96" s="91" t="s">
        <v>622</v>
      </c>
      <c r="H96" s="101">
        <f>+H92+H93</f>
        <v>0</v>
      </c>
    </row>
    <row r="97" spans="4:9" x14ac:dyDescent="0.25">
      <c r="G97" s="91" t="s">
        <v>526</v>
      </c>
      <c r="H97" s="102">
        <f>+H96/H94*100</f>
        <v>0</v>
      </c>
    </row>
    <row r="98" spans="4:9" x14ac:dyDescent="0.25">
      <c r="G98" s="91" t="s">
        <v>621</v>
      </c>
      <c r="H98" s="102">
        <f>+H95/H94*100</f>
        <v>100</v>
      </c>
    </row>
    <row r="99" spans="4:9" x14ac:dyDescent="0.25">
      <c r="G99" s="92"/>
      <c r="H99" s="93"/>
    </row>
    <row r="100" spans="4:9" x14ac:dyDescent="0.25">
      <c r="G100" s="92"/>
      <c r="H100" s="93"/>
    </row>
    <row r="101" spans="4:9" ht="18.75" x14ac:dyDescent="0.25">
      <c r="G101" s="106">
        <f>+Repository!D1</f>
        <v>0</v>
      </c>
      <c r="H101" s="106"/>
      <c r="I101" s="106"/>
    </row>
    <row r="102" spans="4:9" x14ac:dyDescent="0.25">
      <c r="D102" s="103">
        <f>+D92+1</f>
        <v>9</v>
      </c>
      <c r="E102" s="95" t="s">
        <v>26</v>
      </c>
      <c r="G102" s="91" t="s">
        <v>522</v>
      </c>
      <c r="H102" s="99">
        <f>+Repository!G1</f>
        <v>0</v>
      </c>
    </row>
    <row r="103" spans="4:9" x14ac:dyDescent="0.25">
      <c r="G103" s="91" t="s">
        <v>523</v>
      </c>
      <c r="H103" s="100">
        <f>+Repository!G2</f>
        <v>0</v>
      </c>
    </row>
    <row r="104" spans="4:9" x14ac:dyDescent="0.25">
      <c r="G104" s="91" t="s">
        <v>524</v>
      </c>
      <c r="H104" s="101">
        <f>+Repository!G3</f>
        <v>91</v>
      </c>
    </row>
    <row r="105" spans="4:9" x14ac:dyDescent="0.25">
      <c r="G105" s="91" t="s">
        <v>525</v>
      </c>
      <c r="H105" s="101">
        <f>+Repository!G4</f>
        <v>91</v>
      </c>
    </row>
    <row r="106" spans="4:9" x14ac:dyDescent="0.25">
      <c r="G106" s="91" t="s">
        <v>622</v>
      </c>
      <c r="H106" s="101">
        <f>+H102+H103</f>
        <v>0</v>
      </c>
    </row>
    <row r="107" spans="4:9" x14ac:dyDescent="0.25">
      <c r="G107" s="91" t="s">
        <v>526</v>
      </c>
      <c r="H107" s="102">
        <f>+H106/H104*100</f>
        <v>0</v>
      </c>
    </row>
    <row r="108" spans="4:9" x14ac:dyDescent="0.25">
      <c r="G108" s="91" t="s">
        <v>621</v>
      </c>
      <c r="H108" s="102">
        <f>+H105/H104*100</f>
        <v>100</v>
      </c>
    </row>
    <row r="109" spans="4:9" x14ac:dyDescent="0.25">
      <c r="G109" s="92"/>
      <c r="H109" s="93"/>
    </row>
    <row r="110" spans="4:9" x14ac:dyDescent="0.25">
      <c r="G110" s="92"/>
      <c r="H110" s="93"/>
    </row>
    <row r="111" spans="4:9" ht="18.75" x14ac:dyDescent="0.25">
      <c r="G111" s="106">
        <f>+Toolbar!D1</f>
        <v>0</v>
      </c>
      <c r="H111" s="106"/>
      <c r="I111" s="106"/>
    </row>
    <row r="112" spans="4:9" x14ac:dyDescent="0.25">
      <c r="D112" s="103">
        <f>+D102+1</f>
        <v>10</v>
      </c>
      <c r="E112" s="95" t="s">
        <v>37</v>
      </c>
      <c r="G112" s="91" t="s">
        <v>522</v>
      </c>
      <c r="H112" s="99">
        <f>+Toolbar!G1</f>
        <v>0</v>
      </c>
    </row>
    <row r="113" spans="4:9" x14ac:dyDescent="0.25">
      <c r="G113" s="91" t="s">
        <v>523</v>
      </c>
      <c r="H113" s="100">
        <f>+Toolbar!G2</f>
        <v>0</v>
      </c>
    </row>
    <row r="114" spans="4:9" x14ac:dyDescent="0.25">
      <c r="G114" s="91" t="s">
        <v>524</v>
      </c>
      <c r="H114" s="101">
        <f>+Toolbar!G3</f>
        <v>142</v>
      </c>
    </row>
    <row r="115" spans="4:9" x14ac:dyDescent="0.25">
      <c r="G115" s="91" t="s">
        <v>525</v>
      </c>
      <c r="H115" s="101">
        <f>+Toolbar!G4</f>
        <v>142</v>
      </c>
    </row>
    <row r="116" spans="4:9" x14ac:dyDescent="0.25">
      <c r="G116" s="91" t="s">
        <v>622</v>
      </c>
      <c r="H116" s="101">
        <f>+H112+H113</f>
        <v>0</v>
      </c>
    </row>
    <row r="117" spans="4:9" x14ac:dyDescent="0.25">
      <c r="G117" s="91" t="s">
        <v>526</v>
      </c>
      <c r="H117" s="102">
        <f>+H116/H114*100</f>
        <v>0</v>
      </c>
    </row>
    <row r="118" spans="4:9" x14ac:dyDescent="0.25">
      <c r="G118" s="91" t="s">
        <v>621</v>
      </c>
      <c r="H118" s="102">
        <f>+H115/H114*100</f>
        <v>100</v>
      </c>
    </row>
    <row r="119" spans="4:9" x14ac:dyDescent="0.25">
      <c r="G119" s="92"/>
      <c r="H119" s="93"/>
    </row>
    <row r="121" spans="4:9" ht="18.75" x14ac:dyDescent="0.25">
      <c r="D121" s="94"/>
      <c r="E121" s="98"/>
      <c r="G121" s="106">
        <f>+'Email Notifications'!D1</f>
        <v>0</v>
      </c>
      <c r="H121" s="106"/>
      <c r="I121" s="106"/>
    </row>
    <row r="122" spans="4:9" x14ac:dyDescent="0.25">
      <c r="D122" s="103">
        <f>+D112+1</f>
        <v>11</v>
      </c>
      <c r="E122" s="98" t="s">
        <v>625</v>
      </c>
      <c r="G122" s="91" t="s">
        <v>522</v>
      </c>
      <c r="H122" s="99">
        <f>+'Email Notifications'!G1</f>
        <v>0</v>
      </c>
    </row>
    <row r="123" spans="4:9" x14ac:dyDescent="0.25">
      <c r="G123" s="91" t="s">
        <v>523</v>
      </c>
      <c r="H123" s="100">
        <f>+'Email Notifications'!G2</f>
        <v>0</v>
      </c>
    </row>
    <row r="124" spans="4:9" x14ac:dyDescent="0.25">
      <c r="G124" s="91" t="s">
        <v>524</v>
      </c>
      <c r="H124" s="101">
        <f>+'Email Notifications'!G3</f>
        <v>20</v>
      </c>
    </row>
    <row r="125" spans="4:9" x14ac:dyDescent="0.25">
      <c r="G125" s="91" t="s">
        <v>525</v>
      </c>
      <c r="H125" s="101">
        <f>+'Email Notifications'!G4</f>
        <v>20</v>
      </c>
    </row>
    <row r="126" spans="4:9" x14ac:dyDescent="0.25">
      <c r="G126" s="91" t="s">
        <v>622</v>
      </c>
      <c r="H126" s="101">
        <f>+H122+H123</f>
        <v>0</v>
      </c>
    </row>
    <row r="127" spans="4:9" x14ac:dyDescent="0.25">
      <c r="G127" s="91" t="s">
        <v>526</v>
      </c>
      <c r="H127" s="102">
        <f>H126/H124*100</f>
        <v>0</v>
      </c>
    </row>
    <row r="128" spans="4:9" x14ac:dyDescent="0.25">
      <c r="G128" s="91" t="s">
        <v>621</v>
      </c>
      <c r="H128" s="102">
        <f>+H125/H124*100</f>
        <v>100</v>
      </c>
    </row>
  </sheetData>
  <sheetProtection password="CA3D" sheet="1" objects="1" scenarios="1"/>
  <mergeCells count="12">
    <mergeCell ref="E1:F1"/>
    <mergeCell ref="G121:I121"/>
    <mergeCell ref="G13:I13"/>
    <mergeCell ref="G23:I23"/>
    <mergeCell ref="G33:I33"/>
    <mergeCell ref="G111:I111"/>
    <mergeCell ref="G51:I51"/>
    <mergeCell ref="G61:I61"/>
    <mergeCell ref="G71:I71"/>
    <mergeCell ref="G81:I81"/>
    <mergeCell ref="G91:I91"/>
    <mergeCell ref="G101:I101"/>
  </mergeCells>
  <dataValidations count="1">
    <dataValidation type="list" allowBlank="1" showInputMessage="1" showErrorMessage="1" sqref="E1">
      <formula1>Testing_Platform</formula1>
    </dataValidation>
  </dataValidations>
  <hyperlinks>
    <hyperlink ref="E14" location="Sheet_Registration_Login" display="Sheet Registration Login"/>
    <hyperlink ref="E24" location="Sheet_Add_new_task" display="Sheet Add new task"/>
    <hyperlink ref="E34" location="Sheet_Personal_Official" display="Sheet Personal - Official"/>
    <hyperlink ref="E52" location="Sheet_Analytics" display="Sheet Analytics"/>
    <hyperlink ref="E62" location="Sheet_I_am_following" display="Sheet I am following"/>
    <hyperlink ref="E72" location="Sheet_Documents" display="Sheet Documents"/>
    <hyperlink ref="E82" location="Sheet_Calendar" display="Sheet Calendar"/>
    <hyperlink ref="E92" location="Sheet_Notifications" display="Sheet Notifications"/>
    <hyperlink ref="E102" location="Sheet_Repository" display="Sheet Repository"/>
    <hyperlink ref="E112" location="Sheet_Toolbar" display="Sheet Toolbar"/>
    <hyperlink ref="E122" location="Sheet_Email_Notifications" display="Sheet Email Notifications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3"/>
  <sheetViews>
    <sheetView showGridLines="0" zoomScaleNormal="100" workbookViewId="0">
      <pane xSplit="1" ySplit="5" topLeftCell="B27" activePane="bottomRight" state="frozen"/>
      <selection pane="topRight" activeCell="B1" sqref="B1"/>
      <selection pane="bottomLeft" activeCell="A2" sqref="A2"/>
      <selection pane="bottomRight" activeCell="D24" sqref="D24"/>
    </sheetView>
  </sheetViews>
  <sheetFormatPr defaultRowHeight="15" x14ac:dyDescent="0.25"/>
  <cols>
    <col min="1" max="1" width="7.140625" style="11" bestFit="1" customWidth="1"/>
    <col min="2" max="2" width="40.7109375" style="55" customWidth="1"/>
    <col min="3" max="3" width="30.7109375" style="11" customWidth="1"/>
    <col min="4" max="4" width="30.7109375" style="13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70" t="s">
        <v>501</v>
      </c>
      <c r="D1" s="71" t="s">
        <v>51</v>
      </c>
      <c r="E1" s="1"/>
      <c r="F1" s="64" t="s">
        <v>599</v>
      </c>
      <c r="G1" s="72">
        <f>COUNTIF(F:F,"Pass")</f>
        <v>37</v>
      </c>
      <c r="H1" s="1"/>
    </row>
    <row r="2" spans="1:8" ht="15.75" x14ac:dyDescent="0.25">
      <c r="A2" s="2"/>
      <c r="B2" s="82"/>
      <c r="C2" s="73" t="s">
        <v>502</v>
      </c>
      <c r="D2" s="74" t="s">
        <v>495</v>
      </c>
      <c r="E2" s="1"/>
      <c r="F2" s="65" t="s">
        <v>600</v>
      </c>
      <c r="G2" s="75">
        <f>COUNTIF(F:F,"Fail")</f>
        <v>0</v>
      </c>
      <c r="H2" s="1"/>
    </row>
    <row r="3" spans="1:8" ht="16.5" thickBot="1" x14ac:dyDescent="0.3">
      <c r="A3" s="2"/>
      <c r="B3" s="82"/>
      <c r="C3" s="76" t="s">
        <v>503</v>
      </c>
      <c r="D3" s="77" t="str">
        <f>IFERROR(INDEX(Workmatec_Instance_Iteration,MATCH(D2,Workmatec_Instance,0),2),"")</f>
        <v>10Jun2014_0800PM</v>
      </c>
      <c r="E3" s="1"/>
      <c r="F3" s="66" t="s">
        <v>524</v>
      </c>
      <c r="G3" s="78">
        <f>COUNT(A:A)</f>
        <v>42</v>
      </c>
      <c r="H3" s="1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5</v>
      </c>
      <c r="H4" s="1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37.5" x14ac:dyDescent="0.25">
      <c r="A6" s="14">
        <v>1</v>
      </c>
      <c r="B6" s="42" t="s">
        <v>598</v>
      </c>
      <c r="C6" s="16" t="s">
        <v>579</v>
      </c>
      <c r="D6" s="16"/>
      <c r="E6" s="17" t="s">
        <v>94</v>
      </c>
      <c r="F6" s="18" t="s">
        <v>492</v>
      </c>
      <c r="G6" s="19">
        <v>41821</v>
      </c>
      <c r="H6" s="54"/>
    </row>
    <row r="7" spans="1:8" s="60" customFormat="1" ht="18.75" x14ac:dyDescent="0.25">
      <c r="A7" s="14">
        <f>+A6+1</f>
        <v>2</v>
      </c>
      <c r="B7" s="42"/>
      <c r="C7" s="61" t="s">
        <v>577</v>
      </c>
      <c r="D7" s="61"/>
      <c r="E7" s="17" t="s">
        <v>150</v>
      </c>
      <c r="F7" s="18" t="s">
        <v>492</v>
      </c>
      <c r="G7" s="19">
        <v>41821</v>
      </c>
      <c r="H7" s="54"/>
    </row>
    <row r="8" spans="1:8" s="60" customFormat="1" ht="18.75" x14ac:dyDescent="0.25">
      <c r="A8" s="14">
        <f t="shared" ref="A8:A47" si="0">+A7+1</f>
        <v>3</v>
      </c>
      <c r="B8" s="42"/>
      <c r="C8" s="61" t="s">
        <v>578</v>
      </c>
      <c r="D8" s="61"/>
      <c r="E8" s="17" t="s">
        <v>91</v>
      </c>
      <c r="F8" s="18" t="s">
        <v>492</v>
      </c>
      <c r="G8" s="19">
        <v>41821</v>
      </c>
      <c r="H8" s="54"/>
    </row>
    <row r="9" spans="1:8" ht="18.75" x14ac:dyDescent="0.25">
      <c r="A9" s="14">
        <f t="shared" si="0"/>
        <v>4</v>
      </c>
      <c r="B9" s="61"/>
      <c r="C9" s="16" t="s">
        <v>434</v>
      </c>
      <c r="D9" s="16"/>
      <c r="E9" s="17" t="s">
        <v>94</v>
      </c>
      <c r="F9" s="18" t="s">
        <v>492</v>
      </c>
      <c r="G9" s="19">
        <v>41821</v>
      </c>
      <c r="H9" s="54"/>
    </row>
    <row r="10" spans="1:8" ht="37.5" x14ac:dyDescent="0.25">
      <c r="A10" s="14">
        <f t="shared" si="0"/>
        <v>5</v>
      </c>
      <c r="B10" s="61" t="s">
        <v>580</v>
      </c>
      <c r="C10" s="16" t="s">
        <v>435</v>
      </c>
      <c r="D10" s="21"/>
      <c r="E10" s="17" t="s">
        <v>89</v>
      </c>
      <c r="F10" s="18" t="s">
        <v>492</v>
      </c>
      <c r="G10" s="19">
        <v>41821</v>
      </c>
      <c r="H10" s="54"/>
    </row>
    <row r="11" spans="1:8" ht="18.75" x14ac:dyDescent="0.25">
      <c r="A11" s="14">
        <f t="shared" si="0"/>
        <v>6</v>
      </c>
      <c r="B11" s="61"/>
      <c r="C11" s="16" t="s">
        <v>123</v>
      </c>
      <c r="D11" s="21"/>
      <c r="E11" s="17" t="s">
        <v>89</v>
      </c>
      <c r="F11" s="18" t="s">
        <v>492</v>
      </c>
      <c r="G11" s="19">
        <v>41821</v>
      </c>
      <c r="H11" s="54"/>
    </row>
    <row r="12" spans="1:8" ht="18.75" x14ac:dyDescent="0.25">
      <c r="A12" s="14">
        <f t="shared" si="0"/>
        <v>7</v>
      </c>
      <c r="B12" s="61"/>
      <c r="C12" s="16" t="s">
        <v>79</v>
      </c>
      <c r="D12" s="21"/>
      <c r="E12" s="17" t="s">
        <v>89</v>
      </c>
      <c r="F12" s="18" t="s">
        <v>492</v>
      </c>
      <c r="G12" s="19">
        <v>41821</v>
      </c>
      <c r="H12" s="54"/>
    </row>
    <row r="13" spans="1:8" ht="18.75" x14ac:dyDescent="0.25">
      <c r="A13" s="14">
        <f t="shared" si="0"/>
        <v>8</v>
      </c>
      <c r="B13" s="61"/>
      <c r="C13" s="16" t="s">
        <v>80</v>
      </c>
      <c r="D13" s="21"/>
      <c r="E13" s="17" t="s">
        <v>89</v>
      </c>
      <c r="F13" s="18" t="s">
        <v>492</v>
      </c>
      <c r="G13" s="19">
        <v>41821</v>
      </c>
      <c r="H13" s="54"/>
    </row>
    <row r="14" spans="1:8" s="60" customFormat="1" ht="18.75" x14ac:dyDescent="0.25">
      <c r="A14" s="14">
        <f t="shared" si="0"/>
        <v>9</v>
      </c>
      <c r="B14" s="61"/>
      <c r="C14" s="61" t="s">
        <v>581</v>
      </c>
      <c r="D14" s="21"/>
      <c r="E14" s="17" t="s">
        <v>90</v>
      </c>
      <c r="F14" s="18" t="s">
        <v>492</v>
      </c>
      <c r="G14" s="19">
        <v>41821</v>
      </c>
      <c r="H14" s="54"/>
    </row>
    <row r="15" spans="1:8" s="60" customFormat="1" ht="18.75" x14ac:dyDescent="0.25">
      <c r="A15" s="14">
        <f t="shared" si="0"/>
        <v>10</v>
      </c>
      <c r="B15" s="61"/>
      <c r="C15" s="61" t="s">
        <v>582</v>
      </c>
      <c r="D15" s="21"/>
      <c r="E15" s="17" t="s">
        <v>90</v>
      </c>
      <c r="F15" s="18" t="s">
        <v>492</v>
      </c>
      <c r="G15" s="19">
        <v>41821</v>
      </c>
      <c r="H15" s="54"/>
    </row>
    <row r="16" spans="1:8" s="60" customFormat="1" ht="18.75" x14ac:dyDescent="0.25">
      <c r="A16" s="14">
        <f t="shared" si="0"/>
        <v>11</v>
      </c>
      <c r="B16" s="61"/>
      <c r="C16" s="61" t="s">
        <v>583</v>
      </c>
      <c r="D16" s="21"/>
      <c r="E16" s="17" t="s">
        <v>90</v>
      </c>
      <c r="F16" s="18" t="s">
        <v>492</v>
      </c>
      <c r="G16" s="19">
        <v>41821</v>
      </c>
      <c r="H16" s="54"/>
    </row>
    <row r="17" spans="1:8" s="60" customFormat="1" ht="18.75" x14ac:dyDescent="0.25">
      <c r="A17" s="14">
        <f t="shared" si="0"/>
        <v>12</v>
      </c>
      <c r="B17" s="61"/>
      <c r="C17" s="61"/>
      <c r="D17" s="61" t="s">
        <v>124</v>
      </c>
      <c r="E17" s="17" t="s">
        <v>89</v>
      </c>
      <c r="F17" s="18" t="s">
        <v>492</v>
      </c>
      <c r="G17" s="19">
        <v>41821</v>
      </c>
      <c r="H17" s="54"/>
    </row>
    <row r="18" spans="1:8" s="60" customFormat="1" ht="18.75" x14ac:dyDescent="0.25">
      <c r="A18" s="14">
        <f t="shared" si="0"/>
        <v>13</v>
      </c>
      <c r="B18" s="61"/>
      <c r="C18" s="61"/>
      <c r="D18" s="61" t="s">
        <v>104</v>
      </c>
      <c r="E18" s="17" t="s">
        <v>90</v>
      </c>
      <c r="F18" s="18" t="s">
        <v>492</v>
      </c>
      <c r="G18" s="19">
        <v>41821</v>
      </c>
      <c r="H18" s="54"/>
    </row>
    <row r="19" spans="1:8" ht="18.75" x14ac:dyDescent="0.25">
      <c r="A19" s="14">
        <f t="shared" si="0"/>
        <v>14</v>
      </c>
      <c r="B19" s="61"/>
      <c r="C19" s="16" t="s">
        <v>81</v>
      </c>
      <c r="D19" s="21"/>
      <c r="E19" s="17" t="s">
        <v>90</v>
      </c>
      <c r="F19" s="18"/>
      <c r="G19" s="19"/>
      <c r="H19" s="54"/>
    </row>
    <row r="20" spans="1:8" ht="18.75" x14ac:dyDescent="0.25">
      <c r="A20" s="14">
        <f t="shared" si="0"/>
        <v>15</v>
      </c>
      <c r="B20" s="61"/>
      <c r="C20" s="16" t="s">
        <v>82</v>
      </c>
      <c r="D20" s="21"/>
      <c r="E20" s="17" t="s">
        <v>90</v>
      </c>
      <c r="F20" s="18"/>
      <c r="G20" s="19"/>
      <c r="H20" s="54"/>
    </row>
    <row r="21" spans="1:8" ht="18.75" x14ac:dyDescent="0.25">
      <c r="A21" s="14">
        <f t="shared" si="0"/>
        <v>16</v>
      </c>
      <c r="B21" s="61"/>
      <c r="C21" s="16" t="s">
        <v>84</v>
      </c>
      <c r="D21" s="21"/>
      <c r="E21" s="17" t="s">
        <v>90</v>
      </c>
      <c r="F21" s="18"/>
      <c r="G21" s="19"/>
      <c r="H21" s="54"/>
    </row>
    <row r="22" spans="1:8" ht="18.75" x14ac:dyDescent="0.25">
      <c r="A22" s="14">
        <f t="shared" si="0"/>
        <v>17</v>
      </c>
      <c r="B22" s="61"/>
      <c r="C22" s="16" t="s">
        <v>121</v>
      </c>
      <c r="D22" s="21"/>
      <c r="E22" s="17" t="s">
        <v>123</v>
      </c>
      <c r="F22" s="18"/>
      <c r="G22" s="19"/>
      <c r="H22" s="54"/>
    </row>
    <row r="23" spans="1:8" ht="18.75" x14ac:dyDescent="0.25">
      <c r="A23" s="14">
        <f t="shared" si="0"/>
        <v>18</v>
      </c>
      <c r="B23" s="61"/>
      <c r="C23" s="16" t="s">
        <v>122</v>
      </c>
      <c r="D23" s="21"/>
      <c r="E23" s="17" t="s">
        <v>123</v>
      </c>
      <c r="F23" s="18"/>
      <c r="G23" s="19"/>
      <c r="H23" s="54"/>
    </row>
    <row r="24" spans="1:8" s="60" customFormat="1" ht="37.5" x14ac:dyDescent="0.25">
      <c r="A24" s="14">
        <f t="shared" si="0"/>
        <v>19</v>
      </c>
      <c r="B24" s="61" t="s">
        <v>597</v>
      </c>
      <c r="C24" s="62" t="s">
        <v>575</v>
      </c>
      <c r="D24" s="21"/>
      <c r="E24" s="17" t="s">
        <v>89</v>
      </c>
      <c r="F24" s="18" t="s">
        <v>492</v>
      </c>
      <c r="G24" s="19">
        <v>41821</v>
      </c>
      <c r="H24" s="54"/>
    </row>
    <row r="25" spans="1:8" s="60" customFormat="1" ht="18.75" x14ac:dyDescent="0.25">
      <c r="A25" s="14">
        <f t="shared" si="0"/>
        <v>20</v>
      </c>
      <c r="B25" s="61"/>
      <c r="C25" s="62" t="s">
        <v>78</v>
      </c>
      <c r="D25" s="21"/>
      <c r="E25" s="17" t="s">
        <v>89</v>
      </c>
      <c r="F25" s="18" t="s">
        <v>492</v>
      </c>
      <c r="G25" s="19">
        <v>41821</v>
      </c>
      <c r="H25" s="54"/>
    </row>
    <row r="26" spans="1:8" s="60" customFormat="1" ht="18.75" x14ac:dyDescent="0.25">
      <c r="A26" s="14">
        <f t="shared" si="0"/>
        <v>21</v>
      </c>
      <c r="B26" s="61"/>
      <c r="C26" s="62" t="s">
        <v>79</v>
      </c>
      <c r="D26" s="21"/>
      <c r="E26" s="17" t="s">
        <v>89</v>
      </c>
      <c r="F26" s="18" t="s">
        <v>492</v>
      </c>
      <c r="G26" s="19">
        <v>41821</v>
      </c>
      <c r="H26" s="54"/>
    </row>
    <row r="27" spans="1:8" s="60" customFormat="1" ht="18.75" x14ac:dyDescent="0.25">
      <c r="A27" s="14">
        <f t="shared" si="0"/>
        <v>22</v>
      </c>
      <c r="B27" s="61"/>
      <c r="C27" s="62" t="s">
        <v>576</v>
      </c>
      <c r="D27" s="21"/>
      <c r="E27" s="17" t="s">
        <v>90</v>
      </c>
      <c r="F27" s="18" t="s">
        <v>492</v>
      </c>
      <c r="G27" s="19">
        <v>41821</v>
      </c>
      <c r="H27" s="54"/>
    </row>
    <row r="28" spans="1:8" ht="37.5" x14ac:dyDescent="0.25">
      <c r="A28" s="14">
        <f t="shared" si="0"/>
        <v>23</v>
      </c>
      <c r="B28" s="61" t="s">
        <v>596</v>
      </c>
      <c r="C28" s="16" t="s">
        <v>123</v>
      </c>
      <c r="D28" s="16"/>
      <c r="E28" s="17" t="s">
        <v>89</v>
      </c>
      <c r="F28" s="18" t="s">
        <v>492</v>
      </c>
      <c r="G28" s="19">
        <v>41821</v>
      </c>
      <c r="H28" s="54"/>
    </row>
    <row r="29" spans="1:8" ht="18.75" x14ac:dyDescent="0.25">
      <c r="A29" s="14">
        <f t="shared" si="0"/>
        <v>24</v>
      </c>
      <c r="B29" s="56"/>
      <c r="C29" s="16" t="s">
        <v>79</v>
      </c>
      <c r="D29" s="16"/>
      <c r="E29" s="17" t="s">
        <v>89</v>
      </c>
      <c r="F29" s="18" t="s">
        <v>492</v>
      </c>
      <c r="G29" s="19">
        <v>41821</v>
      </c>
      <c r="H29" s="54"/>
    </row>
    <row r="30" spans="1:8" ht="37.5" x14ac:dyDescent="0.25">
      <c r="A30" s="14">
        <f t="shared" si="0"/>
        <v>25</v>
      </c>
      <c r="B30" s="56"/>
      <c r="C30" s="16" t="s">
        <v>584</v>
      </c>
      <c r="D30" s="16"/>
      <c r="E30" s="17" t="s">
        <v>92</v>
      </c>
      <c r="F30" s="18" t="s">
        <v>492</v>
      </c>
      <c r="G30" s="19">
        <v>41821</v>
      </c>
      <c r="H30" s="54"/>
    </row>
    <row r="31" spans="1:8" ht="18.75" x14ac:dyDescent="0.25">
      <c r="A31" s="14">
        <f t="shared" si="0"/>
        <v>26</v>
      </c>
      <c r="B31" s="56"/>
      <c r="C31" s="16" t="s">
        <v>1</v>
      </c>
      <c r="D31" s="16"/>
      <c r="E31" s="17" t="s">
        <v>90</v>
      </c>
      <c r="F31" s="18" t="s">
        <v>492</v>
      </c>
      <c r="G31" s="19">
        <v>41821</v>
      </c>
      <c r="H31" s="54"/>
    </row>
    <row r="32" spans="1:8" s="60" customFormat="1" ht="18.75" x14ac:dyDescent="0.25">
      <c r="A32" s="14">
        <f t="shared" si="0"/>
        <v>27</v>
      </c>
      <c r="B32" s="56"/>
      <c r="C32" s="61" t="s">
        <v>585</v>
      </c>
      <c r="D32" s="61"/>
      <c r="E32" s="17" t="s">
        <v>91</v>
      </c>
      <c r="F32" s="18" t="s">
        <v>492</v>
      </c>
      <c r="G32" s="19">
        <v>41821</v>
      </c>
      <c r="H32" s="54"/>
    </row>
    <row r="33" spans="1:8" s="60" customFormat="1" ht="18.75" x14ac:dyDescent="0.25">
      <c r="A33" s="14">
        <f t="shared" si="0"/>
        <v>28</v>
      </c>
      <c r="B33" s="56"/>
      <c r="C33" s="61" t="s">
        <v>586</v>
      </c>
      <c r="D33" s="61"/>
      <c r="E33" s="17" t="s">
        <v>91</v>
      </c>
      <c r="F33" s="18" t="s">
        <v>492</v>
      </c>
      <c r="G33" s="19">
        <v>41821</v>
      </c>
      <c r="H33" s="54"/>
    </row>
    <row r="34" spans="1:8" ht="18.75" x14ac:dyDescent="0.25">
      <c r="A34" s="14">
        <f t="shared" si="0"/>
        <v>29</v>
      </c>
      <c r="B34" s="56"/>
      <c r="C34" s="16" t="s">
        <v>85</v>
      </c>
      <c r="D34" s="16"/>
      <c r="E34" s="17" t="s">
        <v>90</v>
      </c>
      <c r="F34" s="18" t="s">
        <v>492</v>
      </c>
      <c r="G34" s="19">
        <v>41821</v>
      </c>
      <c r="H34" s="54"/>
    </row>
    <row r="35" spans="1:8" ht="18.75" x14ac:dyDescent="0.25">
      <c r="A35" s="14">
        <f t="shared" si="0"/>
        <v>30</v>
      </c>
      <c r="B35" s="56"/>
      <c r="C35" s="16" t="s">
        <v>86</v>
      </c>
      <c r="D35" s="16"/>
      <c r="E35" s="17" t="s">
        <v>90</v>
      </c>
      <c r="F35" s="18" t="s">
        <v>492</v>
      </c>
      <c r="G35" s="19">
        <v>41821</v>
      </c>
      <c r="H35" s="54"/>
    </row>
    <row r="36" spans="1:8" ht="18.75" x14ac:dyDescent="0.25">
      <c r="A36" s="14">
        <f t="shared" si="0"/>
        <v>31</v>
      </c>
      <c r="B36" s="56"/>
      <c r="C36" s="16" t="s">
        <v>87</v>
      </c>
      <c r="D36" s="16"/>
      <c r="E36" s="17" t="s">
        <v>90</v>
      </c>
      <c r="F36" s="18" t="s">
        <v>492</v>
      </c>
      <c r="G36" s="19">
        <v>41821</v>
      </c>
      <c r="H36" s="54"/>
    </row>
    <row r="37" spans="1:8" s="60" customFormat="1" ht="37.5" x14ac:dyDescent="0.25">
      <c r="A37" s="14">
        <f t="shared" si="0"/>
        <v>32</v>
      </c>
      <c r="B37" s="61" t="s">
        <v>596</v>
      </c>
      <c r="C37" s="61" t="s">
        <v>1</v>
      </c>
      <c r="D37" s="61"/>
      <c r="E37" s="17" t="s">
        <v>91</v>
      </c>
      <c r="F37" s="18" t="s">
        <v>492</v>
      </c>
      <c r="G37" s="19">
        <v>41821</v>
      </c>
      <c r="H37" s="54"/>
    </row>
    <row r="38" spans="1:8" ht="18.75" x14ac:dyDescent="0.25">
      <c r="A38" s="14">
        <f t="shared" si="0"/>
        <v>33</v>
      </c>
      <c r="B38" s="61" t="s">
        <v>5</v>
      </c>
      <c r="C38" s="16" t="s">
        <v>102</v>
      </c>
      <c r="D38" s="16"/>
      <c r="E38" s="17" t="s">
        <v>91</v>
      </c>
      <c r="F38" s="18" t="s">
        <v>492</v>
      </c>
      <c r="G38" s="19">
        <v>41821</v>
      </c>
      <c r="H38" s="54"/>
    </row>
    <row r="39" spans="1:8" ht="18.75" x14ac:dyDescent="0.25">
      <c r="A39" s="14">
        <f t="shared" si="0"/>
        <v>34</v>
      </c>
      <c r="B39" s="61"/>
      <c r="C39" s="16" t="s">
        <v>15</v>
      </c>
      <c r="D39" s="16"/>
      <c r="E39" s="17" t="s">
        <v>91</v>
      </c>
      <c r="F39" s="18" t="s">
        <v>492</v>
      </c>
      <c r="G39" s="19">
        <v>41821</v>
      </c>
      <c r="H39" s="54"/>
    </row>
    <row r="40" spans="1:8" ht="18.75" x14ac:dyDescent="0.25">
      <c r="A40" s="14">
        <f t="shared" si="0"/>
        <v>35</v>
      </c>
      <c r="B40" s="61"/>
      <c r="C40" s="16" t="s">
        <v>20</v>
      </c>
      <c r="D40" s="16"/>
      <c r="E40" s="17" t="s">
        <v>91</v>
      </c>
      <c r="F40" s="18" t="s">
        <v>492</v>
      </c>
      <c r="G40" s="19">
        <v>41821</v>
      </c>
      <c r="H40" s="54"/>
    </row>
    <row r="41" spans="1:8" ht="18.75" x14ac:dyDescent="0.25">
      <c r="A41" s="14">
        <f t="shared" si="0"/>
        <v>36</v>
      </c>
      <c r="B41" s="61"/>
      <c r="C41" s="16" t="s">
        <v>59</v>
      </c>
      <c r="D41" s="16"/>
      <c r="E41" s="17" t="s">
        <v>91</v>
      </c>
      <c r="F41" s="18" t="s">
        <v>492</v>
      </c>
      <c r="G41" s="19">
        <v>41821</v>
      </c>
      <c r="H41" s="54"/>
    </row>
    <row r="42" spans="1:8" ht="18.75" x14ac:dyDescent="0.25">
      <c r="A42" s="14">
        <f>+A41+1</f>
        <v>37</v>
      </c>
      <c r="B42" s="61"/>
      <c r="C42" s="16" t="s">
        <v>21</v>
      </c>
      <c r="D42" s="16"/>
      <c r="E42" s="17" t="s">
        <v>91</v>
      </c>
      <c r="F42" s="18" t="s">
        <v>492</v>
      </c>
      <c r="G42" s="19">
        <v>41821</v>
      </c>
      <c r="H42" s="54"/>
    </row>
    <row r="43" spans="1:8" ht="18.75" x14ac:dyDescent="0.25">
      <c r="A43" s="14">
        <f t="shared" si="0"/>
        <v>38</v>
      </c>
      <c r="B43" s="61"/>
      <c r="C43" s="16" t="s">
        <v>22</v>
      </c>
      <c r="D43" s="16"/>
      <c r="E43" s="17" t="s">
        <v>91</v>
      </c>
      <c r="F43" s="18" t="s">
        <v>492</v>
      </c>
      <c r="G43" s="19">
        <v>41821</v>
      </c>
      <c r="H43" s="54"/>
    </row>
    <row r="44" spans="1:8" ht="18.75" x14ac:dyDescent="0.25">
      <c r="A44" s="14">
        <f>+A43+1</f>
        <v>39</v>
      </c>
      <c r="B44" s="61"/>
      <c r="C44" s="16" t="s">
        <v>24</v>
      </c>
      <c r="D44" s="16"/>
      <c r="E44" s="17" t="s">
        <v>91</v>
      </c>
      <c r="F44" s="18" t="s">
        <v>492</v>
      </c>
      <c r="G44" s="19">
        <v>41821</v>
      </c>
      <c r="H44" s="54"/>
    </row>
    <row r="45" spans="1:8" ht="18.75" x14ac:dyDescent="0.25">
      <c r="A45" s="14">
        <f>+A44+1</f>
        <v>40</v>
      </c>
      <c r="B45" s="61"/>
      <c r="C45" s="16" t="s">
        <v>25</v>
      </c>
      <c r="D45" s="16"/>
      <c r="E45" s="17" t="s">
        <v>91</v>
      </c>
      <c r="F45" s="18" t="s">
        <v>492</v>
      </c>
      <c r="G45" s="19">
        <v>41821</v>
      </c>
      <c r="H45" s="54"/>
    </row>
    <row r="46" spans="1:8" ht="18.75" x14ac:dyDescent="0.25">
      <c r="A46" s="14">
        <f t="shared" si="0"/>
        <v>41</v>
      </c>
      <c r="B46" s="61"/>
      <c r="C46" s="16" t="s">
        <v>26</v>
      </c>
      <c r="D46" s="16"/>
      <c r="E46" s="17" t="s">
        <v>91</v>
      </c>
      <c r="F46" s="18" t="s">
        <v>492</v>
      </c>
      <c r="G46" s="19">
        <v>41821</v>
      </c>
      <c r="H46" s="54"/>
    </row>
    <row r="47" spans="1:8" ht="18.75" x14ac:dyDescent="0.25">
      <c r="A47" s="14">
        <f t="shared" si="0"/>
        <v>42</v>
      </c>
      <c r="B47" s="61"/>
      <c r="C47" s="16" t="s">
        <v>103</v>
      </c>
      <c r="D47" s="16"/>
      <c r="E47" s="17" t="s">
        <v>91</v>
      </c>
      <c r="F47" s="18" t="s">
        <v>492</v>
      </c>
      <c r="G47" s="19">
        <v>41821</v>
      </c>
      <c r="H47" s="54"/>
    </row>
    <row r="53" spans="6:6" x14ac:dyDescent="0.25">
      <c r="F53" s="57"/>
    </row>
  </sheetData>
  <autoFilter ref="A5:H47"/>
  <conditionalFormatting sqref="F5:F6 F19:F23 F48:F1048576">
    <cfRule type="cellIs" dxfId="581" priority="73" operator="equal">
      <formula>"Fail"</formula>
    </cfRule>
    <cfRule type="cellIs" dxfId="580" priority="74" operator="equal">
      <formula>"Pass"</formula>
    </cfRule>
  </conditionalFormatting>
  <conditionalFormatting sqref="F7">
    <cfRule type="cellIs" dxfId="579" priority="71" operator="equal">
      <formula>"Fail"</formula>
    </cfRule>
    <cfRule type="cellIs" dxfId="578" priority="72" operator="equal">
      <formula>"Pass"</formula>
    </cfRule>
  </conditionalFormatting>
  <conditionalFormatting sqref="F8">
    <cfRule type="cellIs" dxfId="577" priority="69" operator="equal">
      <formula>"Fail"</formula>
    </cfRule>
    <cfRule type="cellIs" dxfId="576" priority="70" operator="equal">
      <formula>"Pass"</formula>
    </cfRule>
  </conditionalFormatting>
  <conditionalFormatting sqref="F9">
    <cfRule type="cellIs" dxfId="575" priority="67" operator="equal">
      <formula>"Fail"</formula>
    </cfRule>
    <cfRule type="cellIs" dxfId="574" priority="68" operator="equal">
      <formula>"Pass"</formula>
    </cfRule>
  </conditionalFormatting>
  <conditionalFormatting sqref="F10">
    <cfRule type="cellIs" dxfId="573" priority="65" operator="equal">
      <formula>"Fail"</formula>
    </cfRule>
    <cfRule type="cellIs" dxfId="572" priority="66" operator="equal">
      <formula>"Pass"</formula>
    </cfRule>
  </conditionalFormatting>
  <conditionalFormatting sqref="F11">
    <cfRule type="cellIs" dxfId="571" priority="63" operator="equal">
      <formula>"Fail"</formula>
    </cfRule>
    <cfRule type="cellIs" dxfId="570" priority="64" operator="equal">
      <formula>"Pass"</formula>
    </cfRule>
  </conditionalFormatting>
  <conditionalFormatting sqref="F12">
    <cfRule type="cellIs" dxfId="569" priority="61" operator="equal">
      <formula>"Fail"</formula>
    </cfRule>
    <cfRule type="cellIs" dxfId="568" priority="62" operator="equal">
      <formula>"Pass"</formula>
    </cfRule>
  </conditionalFormatting>
  <conditionalFormatting sqref="F13">
    <cfRule type="cellIs" dxfId="567" priority="59" operator="equal">
      <formula>"Fail"</formula>
    </cfRule>
    <cfRule type="cellIs" dxfId="566" priority="60" operator="equal">
      <formula>"Pass"</formula>
    </cfRule>
  </conditionalFormatting>
  <conditionalFormatting sqref="F14">
    <cfRule type="cellIs" dxfId="565" priority="57" operator="equal">
      <formula>"Fail"</formula>
    </cfRule>
    <cfRule type="cellIs" dxfId="564" priority="58" operator="equal">
      <formula>"Pass"</formula>
    </cfRule>
  </conditionalFormatting>
  <conditionalFormatting sqref="F15">
    <cfRule type="cellIs" dxfId="563" priority="55" operator="equal">
      <formula>"Fail"</formula>
    </cfRule>
    <cfRule type="cellIs" dxfId="562" priority="56" operator="equal">
      <formula>"Pass"</formula>
    </cfRule>
  </conditionalFormatting>
  <conditionalFormatting sqref="F16">
    <cfRule type="cellIs" dxfId="561" priority="53" operator="equal">
      <formula>"Fail"</formula>
    </cfRule>
    <cfRule type="cellIs" dxfId="560" priority="54" operator="equal">
      <formula>"Pass"</formula>
    </cfRule>
  </conditionalFormatting>
  <conditionalFormatting sqref="F17">
    <cfRule type="cellIs" dxfId="559" priority="51" operator="equal">
      <formula>"Fail"</formula>
    </cfRule>
    <cfRule type="cellIs" dxfId="558" priority="52" operator="equal">
      <formula>"Pass"</formula>
    </cfRule>
  </conditionalFormatting>
  <conditionalFormatting sqref="F18">
    <cfRule type="cellIs" dxfId="557" priority="49" operator="equal">
      <formula>"Fail"</formula>
    </cfRule>
    <cfRule type="cellIs" dxfId="556" priority="50" operator="equal">
      <formula>"Pass"</formula>
    </cfRule>
  </conditionalFormatting>
  <conditionalFormatting sqref="F24">
    <cfRule type="cellIs" dxfId="555" priority="47" operator="equal">
      <formula>"Fail"</formula>
    </cfRule>
    <cfRule type="cellIs" dxfId="554" priority="48" operator="equal">
      <formula>"Pass"</formula>
    </cfRule>
  </conditionalFormatting>
  <conditionalFormatting sqref="F25">
    <cfRule type="cellIs" dxfId="553" priority="45" operator="equal">
      <formula>"Fail"</formula>
    </cfRule>
    <cfRule type="cellIs" dxfId="552" priority="46" operator="equal">
      <formula>"Pass"</formula>
    </cfRule>
  </conditionalFormatting>
  <conditionalFormatting sqref="F26">
    <cfRule type="cellIs" dxfId="551" priority="43" operator="equal">
      <formula>"Fail"</formula>
    </cfRule>
    <cfRule type="cellIs" dxfId="550" priority="44" operator="equal">
      <formula>"Pass"</formula>
    </cfRule>
  </conditionalFormatting>
  <conditionalFormatting sqref="F27">
    <cfRule type="cellIs" dxfId="549" priority="41" operator="equal">
      <formula>"Fail"</formula>
    </cfRule>
    <cfRule type="cellIs" dxfId="548" priority="42" operator="equal">
      <formula>"Pass"</formula>
    </cfRule>
  </conditionalFormatting>
  <conditionalFormatting sqref="F28">
    <cfRule type="cellIs" dxfId="547" priority="39" operator="equal">
      <formula>"Fail"</formula>
    </cfRule>
    <cfRule type="cellIs" dxfId="546" priority="40" operator="equal">
      <formula>"Pass"</formula>
    </cfRule>
  </conditionalFormatting>
  <conditionalFormatting sqref="F29">
    <cfRule type="cellIs" dxfId="545" priority="37" operator="equal">
      <formula>"Fail"</formula>
    </cfRule>
    <cfRule type="cellIs" dxfId="544" priority="38" operator="equal">
      <formula>"Pass"</formula>
    </cfRule>
  </conditionalFormatting>
  <conditionalFormatting sqref="F30">
    <cfRule type="cellIs" dxfId="543" priority="35" operator="equal">
      <formula>"Fail"</formula>
    </cfRule>
    <cfRule type="cellIs" dxfId="542" priority="36" operator="equal">
      <formula>"Pass"</formula>
    </cfRule>
  </conditionalFormatting>
  <conditionalFormatting sqref="F31">
    <cfRule type="cellIs" dxfId="541" priority="33" operator="equal">
      <formula>"Fail"</formula>
    </cfRule>
    <cfRule type="cellIs" dxfId="540" priority="34" operator="equal">
      <formula>"Pass"</formula>
    </cfRule>
  </conditionalFormatting>
  <conditionalFormatting sqref="F32">
    <cfRule type="cellIs" dxfId="539" priority="31" operator="equal">
      <formula>"Fail"</formula>
    </cfRule>
    <cfRule type="cellIs" dxfId="538" priority="32" operator="equal">
      <formula>"Pass"</formula>
    </cfRule>
  </conditionalFormatting>
  <conditionalFormatting sqref="F33">
    <cfRule type="cellIs" dxfId="537" priority="29" operator="equal">
      <formula>"Fail"</formula>
    </cfRule>
    <cfRule type="cellIs" dxfId="536" priority="30" operator="equal">
      <formula>"Pass"</formula>
    </cfRule>
  </conditionalFormatting>
  <conditionalFormatting sqref="F34">
    <cfRule type="cellIs" dxfId="535" priority="27" operator="equal">
      <formula>"Fail"</formula>
    </cfRule>
    <cfRule type="cellIs" dxfId="534" priority="28" operator="equal">
      <formula>"Pass"</formula>
    </cfRule>
  </conditionalFormatting>
  <conditionalFormatting sqref="F35">
    <cfRule type="cellIs" dxfId="533" priority="25" operator="equal">
      <formula>"Fail"</formula>
    </cfRule>
    <cfRule type="cellIs" dxfId="532" priority="26" operator="equal">
      <formula>"Pass"</formula>
    </cfRule>
  </conditionalFormatting>
  <conditionalFormatting sqref="F36">
    <cfRule type="cellIs" dxfId="531" priority="23" operator="equal">
      <formula>"Fail"</formula>
    </cfRule>
    <cfRule type="cellIs" dxfId="530" priority="24" operator="equal">
      <formula>"Pass"</formula>
    </cfRule>
  </conditionalFormatting>
  <conditionalFormatting sqref="F37">
    <cfRule type="cellIs" dxfId="529" priority="21" operator="equal">
      <formula>"Fail"</formula>
    </cfRule>
    <cfRule type="cellIs" dxfId="528" priority="22" operator="equal">
      <formula>"Pass"</formula>
    </cfRule>
  </conditionalFormatting>
  <conditionalFormatting sqref="F38">
    <cfRule type="cellIs" dxfId="527" priority="19" operator="equal">
      <formula>"Fail"</formula>
    </cfRule>
    <cfRule type="cellIs" dxfId="526" priority="20" operator="equal">
      <formula>"Pass"</formula>
    </cfRule>
  </conditionalFormatting>
  <conditionalFormatting sqref="F39">
    <cfRule type="cellIs" dxfId="525" priority="17" operator="equal">
      <formula>"Fail"</formula>
    </cfRule>
    <cfRule type="cellIs" dxfId="524" priority="18" operator="equal">
      <formula>"Pass"</formula>
    </cfRule>
  </conditionalFormatting>
  <conditionalFormatting sqref="F40">
    <cfRule type="cellIs" dxfId="523" priority="15" operator="equal">
      <formula>"Fail"</formula>
    </cfRule>
    <cfRule type="cellIs" dxfId="522" priority="16" operator="equal">
      <formula>"Pass"</formula>
    </cfRule>
  </conditionalFormatting>
  <conditionalFormatting sqref="F41">
    <cfRule type="cellIs" dxfId="521" priority="13" operator="equal">
      <formula>"Fail"</formula>
    </cfRule>
    <cfRule type="cellIs" dxfId="520" priority="14" operator="equal">
      <formula>"Pass"</formula>
    </cfRule>
  </conditionalFormatting>
  <conditionalFormatting sqref="F42">
    <cfRule type="cellIs" dxfId="519" priority="11" operator="equal">
      <formula>"Fail"</formula>
    </cfRule>
    <cfRule type="cellIs" dxfId="518" priority="12" operator="equal">
      <formula>"Pass"</formula>
    </cfRule>
  </conditionalFormatting>
  <conditionalFormatting sqref="F43">
    <cfRule type="cellIs" dxfId="517" priority="9" operator="equal">
      <formula>"Fail"</formula>
    </cfRule>
    <cfRule type="cellIs" dxfId="516" priority="10" operator="equal">
      <formula>"Pass"</formula>
    </cfRule>
  </conditionalFormatting>
  <conditionalFormatting sqref="F44">
    <cfRule type="cellIs" dxfId="515" priority="7" operator="equal">
      <formula>"Fail"</formula>
    </cfRule>
    <cfRule type="cellIs" dxfId="514" priority="8" operator="equal">
      <formula>"Pass"</formula>
    </cfRule>
  </conditionalFormatting>
  <conditionalFormatting sqref="F45">
    <cfRule type="cellIs" dxfId="513" priority="5" operator="equal">
      <formula>"Fail"</formula>
    </cfRule>
    <cfRule type="cellIs" dxfId="512" priority="6" operator="equal">
      <formula>"Pass"</formula>
    </cfRule>
  </conditionalFormatting>
  <conditionalFormatting sqref="F46">
    <cfRule type="cellIs" dxfId="511" priority="3" operator="equal">
      <formula>"Fail"</formula>
    </cfRule>
    <cfRule type="cellIs" dxfId="510" priority="4" operator="equal">
      <formula>"Pass"</formula>
    </cfRule>
  </conditionalFormatting>
  <conditionalFormatting sqref="F47">
    <cfRule type="cellIs" dxfId="509" priority="1" operator="equal">
      <formula>"Fail"</formula>
    </cfRule>
    <cfRule type="cellIs" dxfId="508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E6:E47">
      <formula1>Control_List</formula1>
    </dataValidation>
    <dataValidation type="list" allowBlank="1" showInputMessage="1" showErrorMessage="1" sqref="F6:F47">
      <formula1>Result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251"/>
  <sheetViews>
    <sheetView showGridLines="0" tabSelected="1" zoomScaleNormal="100" workbookViewId="0">
      <pane xSplit="1" ySplit="5" topLeftCell="B178" activePane="bottomRight" state="frozen"/>
      <selection pane="topRight" activeCell="B1" sqref="B1"/>
      <selection pane="bottomLeft" activeCell="A2" sqref="A2"/>
      <selection pane="bottomRight" activeCell="F193" activeCellId="1" sqref="F194:G194 F193:G193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 t="s">
        <v>51</v>
      </c>
      <c r="E1" s="1"/>
      <c r="F1" s="64" t="s">
        <v>599</v>
      </c>
      <c r="G1" s="72">
        <f>COUNTIF(F:F,"Pass")</f>
        <v>177</v>
      </c>
      <c r="H1" s="86"/>
    </row>
    <row r="2" spans="1:8" ht="15.75" x14ac:dyDescent="0.25">
      <c r="A2" s="2"/>
      <c r="B2" s="82"/>
      <c r="C2" s="84" t="s">
        <v>502</v>
      </c>
      <c r="D2" s="85" t="s">
        <v>495</v>
      </c>
      <c r="E2" s="1"/>
      <c r="F2" s="65" t="s">
        <v>600</v>
      </c>
      <c r="G2" s="75">
        <f>COUNTIF(F:F,"Fail")</f>
        <v>6</v>
      </c>
      <c r="H2" s="86"/>
    </row>
    <row r="3" spans="1:8" ht="15.75" x14ac:dyDescent="0.25">
      <c r="A3" s="2"/>
      <c r="B3" s="82"/>
      <c r="C3" s="84" t="s">
        <v>503</v>
      </c>
      <c r="D3" s="85" t="str">
        <f>IFERROR(INDEX(Workmatec_Instance_Iteration,MATCH(D2,Workmatec_Instance,0),2),"")</f>
        <v>10Jun2014_0800PM</v>
      </c>
      <c r="E3" s="1"/>
      <c r="F3" s="66" t="s">
        <v>524</v>
      </c>
      <c r="G3" s="78">
        <f>COUNT(A:A)</f>
        <v>246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63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252</v>
      </c>
      <c r="C6" s="16" t="s">
        <v>14</v>
      </c>
      <c r="D6" s="16"/>
      <c r="E6" s="17" t="s">
        <v>158</v>
      </c>
      <c r="F6" s="18" t="s">
        <v>492</v>
      </c>
      <c r="G6" s="19">
        <v>41821</v>
      </c>
      <c r="H6" s="54"/>
    </row>
    <row r="7" spans="1:8" ht="18.75" x14ac:dyDescent="0.25">
      <c r="A7" s="14">
        <f t="shared" ref="A7:A83" si="0">+A6+1</f>
        <v>2</v>
      </c>
      <c r="B7" s="16"/>
      <c r="C7" s="16" t="s">
        <v>9</v>
      </c>
      <c r="D7" s="16"/>
      <c r="E7" s="17" t="s">
        <v>158</v>
      </c>
      <c r="F7" s="18" t="s">
        <v>492</v>
      </c>
      <c r="G7" s="19">
        <v>41821</v>
      </c>
      <c r="H7" s="54"/>
    </row>
    <row r="8" spans="1:8" ht="37.5" x14ac:dyDescent="0.25">
      <c r="A8" s="14">
        <f t="shared" si="0"/>
        <v>3</v>
      </c>
      <c r="B8" s="16" t="s">
        <v>206</v>
      </c>
      <c r="C8" s="16" t="s">
        <v>15</v>
      </c>
      <c r="D8" s="16"/>
      <c r="E8" s="17" t="s">
        <v>90</v>
      </c>
      <c r="F8" s="18" t="s">
        <v>492</v>
      </c>
      <c r="G8" s="19">
        <v>41821</v>
      </c>
      <c r="H8" s="54"/>
    </row>
    <row r="9" spans="1:8" ht="18.75" x14ac:dyDescent="0.25">
      <c r="A9" s="14">
        <f t="shared" si="0"/>
        <v>4</v>
      </c>
      <c r="B9" s="16"/>
      <c r="C9" s="16" t="s">
        <v>20</v>
      </c>
      <c r="D9" s="16"/>
      <c r="E9" s="17" t="s">
        <v>90</v>
      </c>
      <c r="F9" s="18" t="s">
        <v>492</v>
      </c>
      <c r="G9" s="19">
        <v>41821</v>
      </c>
      <c r="H9" s="54"/>
    </row>
    <row r="10" spans="1:8" ht="18.75" x14ac:dyDescent="0.25">
      <c r="A10" s="14">
        <f t="shared" si="0"/>
        <v>5</v>
      </c>
      <c r="B10" s="16"/>
      <c r="C10" s="16" t="s">
        <v>104</v>
      </c>
      <c r="D10" s="16"/>
      <c r="E10" s="17" t="s">
        <v>90</v>
      </c>
      <c r="F10" s="18" t="s">
        <v>492</v>
      </c>
      <c r="G10" s="19">
        <v>41821</v>
      </c>
      <c r="H10" s="54"/>
    </row>
    <row r="11" spans="1:8" ht="18.75" x14ac:dyDescent="0.25">
      <c r="A11" s="14">
        <f t="shared" si="0"/>
        <v>6</v>
      </c>
      <c r="B11" s="16"/>
      <c r="C11" s="16" t="s">
        <v>105</v>
      </c>
      <c r="D11" s="16"/>
      <c r="E11" s="17" t="s">
        <v>90</v>
      </c>
      <c r="F11" s="18" t="s">
        <v>492</v>
      </c>
      <c r="G11" s="19">
        <v>41821</v>
      </c>
      <c r="H11" s="54"/>
    </row>
    <row r="12" spans="1:8" ht="18.75" x14ac:dyDescent="0.25">
      <c r="A12" s="14">
        <f t="shared" si="0"/>
        <v>7</v>
      </c>
      <c r="B12" s="16"/>
      <c r="C12" s="16" t="s">
        <v>106</v>
      </c>
      <c r="D12" s="16"/>
      <c r="E12" s="17" t="s">
        <v>89</v>
      </c>
      <c r="F12" s="18" t="s">
        <v>492</v>
      </c>
      <c r="G12" s="19">
        <v>41821</v>
      </c>
      <c r="H12" s="54"/>
    </row>
    <row r="13" spans="1:8" ht="18.75" x14ac:dyDescent="0.25">
      <c r="A13" s="14">
        <f t="shared" si="0"/>
        <v>8</v>
      </c>
      <c r="B13" s="16"/>
      <c r="C13" s="16" t="s">
        <v>107</v>
      </c>
      <c r="D13" s="16"/>
      <c r="E13" s="17" t="s">
        <v>89</v>
      </c>
      <c r="F13" s="18" t="s">
        <v>492</v>
      </c>
      <c r="G13" s="19">
        <v>41821</v>
      </c>
      <c r="H13" s="54"/>
    </row>
    <row r="14" spans="1:8" ht="18.75" x14ac:dyDescent="0.25">
      <c r="A14" s="14">
        <f t="shared" si="0"/>
        <v>9</v>
      </c>
      <c r="B14" s="16"/>
      <c r="C14" s="16" t="s">
        <v>108</v>
      </c>
      <c r="D14" s="16"/>
      <c r="E14" s="17" t="s">
        <v>89</v>
      </c>
      <c r="F14" s="18" t="s">
        <v>492</v>
      </c>
      <c r="G14" s="19">
        <v>41821</v>
      </c>
      <c r="H14" s="54"/>
    </row>
    <row r="15" spans="1:8" ht="18.75" x14ac:dyDescent="0.25">
      <c r="A15" s="14">
        <f t="shared" si="0"/>
        <v>10</v>
      </c>
      <c r="B15" s="16"/>
      <c r="C15" s="16" t="s">
        <v>109</v>
      </c>
      <c r="D15" s="16"/>
      <c r="E15" s="17" t="s">
        <v>89</v>
      </c>
      <c r="F15" s="18" t="s">
        <v>492</v>
      </c>
      <c r="G15" s="19">
        <v>41821</v>
      </c>
      <c r="H15" s="54"/>
    </row>
    <row r="16" spans="1:8" ht="18.75" x14ac:dyDescent="0.25">
      <c r="A16" s="14">
        <f t="shared" si="0"/>
        <v>11</v>
      </c>
      <c r="B16" s="16"/>
      <c r="C16" s="16" t="s">
        <v>110</v>
      </c>
      <c r="D16" s="16"/>
      <c r="E16" s="17" t="s">
        <v>89</v>
      </c>
      <c r="F16" s="18" t="s">
        <v>492</v>
      </c>
      <c r="G16" s="19">
        <v>41821</v>
      </c>
      <c r="H16" s="54"/>
    </row>
    <row r="17" spans="1:8" ht="18.75" x14ac:dyDescent="0.25">
      <c r="A17" s="14">
        <f t="shared" si="0"/>
        <v>12</v>
      </c>
      <c r="B17" s="16"/>
      <c r="C17" s="16" t="s">
        <v>115</v>
      </c>
      <c r="D17" s="16"/>
      <c r="E17" s="17" t="s">
        <v>90</v>
      </c>
      <c r="F17" s="18" t="s">
        <v>492</v>
      </c>
      <c r="G17" s="19">
        <v>41821</v>
      </c>
      <c r="H17" s="54"/>
    </row>
    <row r="18" spans="1:8" ht="18.75" x14ac:dyDescent="0.25">
      <c r="A18" s="14">
        <f t="shared" si="0"/>
        <v>13</v>
      </c>
      <c r="B18" s="16"/>
      <c r="C18" s="16" t="s">
        <v>111</v>
      </c>
      <c r="D18" s="16"/>
      <c r="E18" s="17" t="s">
        <v>116</v>
      </c>
      <c r="F18" s="18" t="s">
        <v>492</v>
      </c>
      <c r="G18" s="19">
        <v>41821</v>
      </c>
      <c r="H18" s="54"/>
    </row>
    <row r="19" spans="1:8" ht="18.75" x14ac:dyDescent="0.25">
      <c r="A19" s="14">
        <f t="shared" si="0"/>
        <v>14</v>
      </c>
      <c r="B19" s="16"/>
      <c r="C19" s="16"/>
      <c r="D19" s="16" t="s">
        <v>126</v>
      </c>
      <c r="E19" s="17" t="s">
        <v>90</v>
      </c>
      <c r="F19" s="18" t="s">
        <v>492</v>
      </c>
      <c r="G19" s="19">
        <v>41821</v>
      </c>
      <c r="H19" s="54"/>
    </row>
    <row r="20" spans="1:8" ht="18.75" x14ac:dyDescent="0.25">
      <c r="A20" s="14">
        <f t="shared" si="0"/>
        <v>15</v>
      </c>
      <c r="B20" s="16"/>
      <c r="C20" s="16"/>
      <c r="D20" s="16" t="s">
        <v>127</v>
      </c>
      <c r="E20" s="17" t="s">
        <v>90</v>
      </c>
      <c r="F20" s="18" t="s">
        <v>492</v>
      </c>
      <c r="G20" s="19">
        <v>41821</v>
      </c>
      <c r="H20" s="54"/>
    </row>
    <row r="21" spans="1:8" ht="18.75" x14ac:dyDescent="0.25">
      <c r="A21" s="14">
        <f t="shared" si="0"/>
        <v>16</v>
      </c>
      <c r="B21" s="16"/>
      <c r="C21" s="16" t="s">
        <v>7</v>
      </c>
      <c r="D21" s="16"/>
      <c r="E21" s="17" t="s">
        <v>91</v>
      </c>
      <c r="F21" s="18" t="s">
        <v>492</v>
      </c>
      <c r="G21" s="19">
        <v>41821</v>
      </c>
      <c r="H21" s="54"/>
    </row>
    <row r="22" spans="1:8" ht="18.75" x14ac:dyDescent="0.25">
      <c r="A22" s="14">
        <f t="shared" si="0"/>
        <v>17</v>
      </c>
      <c r="B22" s="16"/>
      <c r="C22" s="16" t="s">
        <v>112</v>
      </c>
      <c r="D22" s="16"/>
      <c r="E22" s="17" t="s">
        <v>89</v>
      </c>
      <c r="F22" s="18" t="s">
        <v>492</v>
      </c>
      <c r="G22" s="19">
        <v>41821</v>
      </c>
      <c r="H22" s="54"/>
    </row>
    <row r="23" spans="1:8" ht="18.75" x14ac:dyDescent="0.25">
      <c r="A23" s="14">
        <f t="shared" si="0"/>
        <v>18</v>
      </c>
      <c r="B23" s="16"/>
      <c r="C23" s="16" t="s">
        <v>113</v>
      </c>
      <c r="D23" s="16"/>
      <c r="E23" s="17" t="s">
        <v>117</v>
      </c>
      <c r="F23" s="18" t="s">
        <v>492</v>
      </c>
      <c r="G23" s="19">
        <v>41821</v>
      </c>
      <c r="H23" s="54"/>
    </row>
    <row r="24" spans="1:8" ht="18.75" x14ac:dyDescent="0.25">
      <c r="A24" s="14">
        <f t="shared" si="0"/>
        <v>19</v>
      </c>
      <c r="B24" s="16"/>
      <c r="C24" s="16" t="s">
        <v>128</v>
      </c>
      <c r="D24" s="16"/>
      <c r="E24" s="17" t="s">
        <v>101</v>
      </c>
      <c r="F24" s="18" t="s">
        <v>492</v>
      </c>
      <c r="G24" s="19">
        <v>41821</v>
      </c>
      <c r="H24" s="54"/>
    </row>
    <row r="25" spans="1:8" ht="18.75" x14ac:dyDescent="0.25">
      <c r="A25" s="14">
        <f t="shared" si="0"/>
        <v>20</v>
      </c>
      <c r="B25" s="16"/>
      <c r="C25" s="16"/>
      <c r="D25" s="16" t="s">
        <v>53</v>
      </c>
      <c r="E25" s="17" t="s">
        <v>118</v>
      </c>
      <c r="F25" s="18" t="s">
        <v>492</v>
      </c>
      <c r="G25" s="19">
        <v>41821</v>
      </c>
      <c r="H25" s="54"/>
    </row>
    <row r="26" spans="1:8" ht="18.75" x14ac:dyDescent="0.25">
      <c r="A26" s="14">
        <f t="shared" si="0"/>
        <v>21</v>
      </c>
      <c r="B26" s="16"/>
      <c r="C26" s="16"/>
      <c r="D26" s="16" t="s">
        <v>129</v>
      </c>
      <c r="E26" s="17" t="s">
        <v>119</v>
      </c>
      <c r="F26" s="18" t="s">
        <v>492</v>
      </c>
      <c r="G26" s="19">
        <v>41821</v>
      </c>
      <c r="H26" s="54"/>
    </row>
    <row r="27" spans="1:8" ht="18.75" x14ac:dyDescent="0.25">
      <c r="A27" s="14">
        <f t="shared" si="0"/>
        <v>22</v>
      </c>
      <c r="B27" s="16"/>
      <c r="C27" s="16" t="s">
        <v>130</v>
      </c>
      <c r="D27" s="16"/>
      <c r="E27" s="17" t="s">
        <v>101</v>
      </c>
      <c r="F27" s="18" t="s">
        <v>492</v>
      </c>
      <c r="G27" s="19">
        <v>41821</v>
      </c>
      <c r="H27" s="54"/>
    </row>
    <row r="28" spans="1:8" ht="18.75" x14ac:dyDescent="0.25">
      <c r="A28" s="14">
        <f t="shared" si="0"/>
        <v>23</v>
      </c>
      <c r="B28" s="16"/>
      <c r="C28" s="16"/>
      <c r="D28" s="16" t="s">
        <v>131</v>
      </c>
      <c r="E28" s="17" t="s">
        <v>90</v>
      </c>
      <c r="F28" s="18" t="s">
        <v>492</v>
      </c>
      <c r="G28" s="19">
        <v>41821</v>
      </c>
      <c r="H28" s="54"/>
    </row>
    <row r="29" spans="1:8" ht="18.75" x14ac:dyDescent="0.25">
      <c r="A29" s="14">
        <f t="shared" si="0"/>
        <v>24</v>
      </c>
      <c r="B29" s="16"/>
      <c r="C29" s="16"/>
      <c r="D29" s="16" t="s">
        <v>132</v>
      </c>
      <c r="E29" s="17" t="s">
        <v>90</v>
      </c>
      <c r="F29" s="18" t="s">
        <v>492</v>
      </c>
      <c r="G29" s="19">
        <v>41821</v>
      </c>
      <c r="H29" s="54"/>
    </row>
    <row r="30" spans="1:8" ht="18.75" x14ac:dyDescent="0.25">
      <c r="A30" s="14">
        <f t="shared" si="0"/>
        <v>25</v>
      </c>
      <c r="B30" s="16"/>
      <c r="C30" s="16"/>
      <c r="D30" s="16" t="s">
        <v>133</v>
      </c>
      <c r="E30" s="17" t="s">
        <v>90</v>
      </c>
      <c r="F30" s="18" t="s">
        <v>492</v>
      </c>
      <c r="G30" s="19">
        <v>41821</v>
      </c>
      <c r="H30" s="54"/>
    </row>
    <row r="31" spans="1:8" ht="18.75" x14ac:dyDescent="0.25">
      <c r="A31" s="14">
        <f t="shared" si="0"/>
        <v>26</v>
      </c>
      <c r="B31" s="16"/>
      <c r="C31" s="16"/>
      <c r="D31" s="16" t="s">
        <v>134</v>
      </c>
      <c r="E31" s="17" t="s">
        <v>120</v>
      </c>
      <c r="F31" s="18" t="s">
        <v>492</v>
      </c>
      <c r="G31" s="19">
        <v>41821</v>
      </c>
      <c r="H31" s="54"/>
    </row>
    <row r="32" spans="1:8" ht="18.75" x14ac:dyDescent="0.25">
      <c r="A32" s="14">
        <f t="shared" si="0"/>
        <v>27</v>
      </c>
      <c r="B32" s="16"/>
      <c r="C32" s="16" t="s">
        <v>136</v>
      </c>
      <c r="D32" s="16"/>
      <c r="E32" s="17" t="s">
        <v>101</v>
      </c>
      <c r="F32" s="18" t="s">
        <v>492</v>
      </c>
      <c r="G32" s="19">
        <v>41821</v>
      </c>
      <c r="H32" s="54"/>
    </row>
    <row r="33" spans="1:8" ht="18.75" x14ac:dyDescent="0.25">
      <c r="A33" s="14">
        <f t="shared" si="0"/>
        <v>28</v>
      </c>
      <c r="B33" s="16"/>
      <c r="C33" s="16"/>
      <c r="D33" s="16" t="s">
        <v>131</v>
      </c>
      <c r="E33" s="17" t="s">
        <v>90</v>
      </c>
      <c r="F33" s="18" t="s">
        <v>492</v>
      </c>
      <c r="G33" s="19">
        <v>41821</v>
      </c>
      <c r="H33" s="54"/>
    </row>
    <row r="34" spans="1:8" ht="18.75" x14ac:dyDescent="0.25">
      <c r="A34" s="14">
        <f t="shared" si="0"/>
        <v>29</v>
      </c>
      <c r="B34" s="16"/>
      <c r="C34" s="16"/>
      <c r="D34" s="16" t="s">
        <v>135</v>
      </c>
      <c r="E34" s="17" t="s">
        <v>90</v>
      </c>
      <c r="F34" s="18" t="s">
        <v>492</v>
      </c>
      <c r="G34" s="19">
        <v>41821</v>
      </c>
      <c r="H34" s="54"/>
    </row>
    <row r="35" spans="1:8" ht="18.75" x14ac:dyDescent="0.25">
      <c r="A35" s="14">
        <f t="shared" si="0"/>
        <v>30</v>
      </c>
      <c r="B35" s="16"/>
      <c r="C35" s="16" t="s">
        <v>137</v>
      </c>
      <c r="D35" s="16"/>
      <c r="E35" s="17" t="s">
        <v>101</v>
      </c>
      <c r="F35" s="18" t="s">
        <v>492</v>
      </c>
      <c r="G35" s="19">
        <v>41821</v>
      </c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138</v>
      </c>
      <c r="E36" s="17" t="s">
        <v>90</v>
      </c>
      <c r="F36" s="18" t="s">
        <v>492</v>
      </c>
      <c r="G36" s="19">
        <v>41821</v>
      </c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132</v>
      </c>
      <c r="E37" s="17" t="s">
        <v>90</v>
      </c>
      <c r="F37" s="18" t="s">
        <v>492</v>
      </c>
      <c r="G37" s="19">
        <v>41821</v>
      </c>
      <c r="H37" s="54"/>
    </row>
    <row r="38" spans="1:8" ht="18.75" x14ac:dyDescent="0.25">
      <c r="A38" s="14">
        <f t="shared" si="0"/>
        <v>33</v>
      </c>
      <c r="B38" s="16"/>
      <c r="C38" s="16"/>
      <c r="D38" s="16" t="s">
        <v>139</v>
      </c>
      <c r="E38" s="17" t="s">
        <v>90</v>
      </c>
      <c r="F38" s="18" t="s">
        <v>492</v>
      </c>
      <c r="G38" s="19">
        <v>41821</v>
      </c>
      <c r="H38" s="54"/>
    </row>
    <row r="39" spans="1:8" ht="18.75" x14ac:dyDescent="0.25">
      <c r="A39" s="14">
        <f t="shared" si="0"/>
        <v>34</v>
      </c>
      <c r="B39" s="16"/>
      <c r="C39" s="16"/>
      <c r="D39" s="16" t="s">
        <v>140</v>
      </c>
      <c r="E39" s="17" t="s">
        <v>90</v>
      </c>
      <c r="F39" s="18" t="s">
        <v>492</v>
      </c>
      <c r="G39" s="19">
        <v>41821</v>
      </c>
      <c r="H39" s="54"/>
    </row>
    <row r="40" spans="1:8" ht="18.75" x14ac:dyDescent="0.25">
      <c r="A40" s="14">
        <f t="shared" si="0"/>
        <v>35</v>
      </c>
      <c r="B40" s="16"/>
      <c r="C40" s="16"/>
      <c r="D40" s="16" t="s">
        <v>141</v>
      </c>
      <c r="E40" s="17" t="s">
        <v>90</v>
      </c>
      <c r="F40" s="18" t="s">
        <v>492</v>
      </c>
      <c r="G40" s="19">
        <v>41821</v>
      </c>
      <c r="H40" s="54"/>
    </row>
    <row r="41" spans="1:8" ht="18.75" x14ac:dyDescent="0.25">
      <c r="A41" s="14">
        <f t="shared" si="0"/>
        <v>36</v>
      </c>
      <c r="B41" s="16"/>
      <c r="C41" s="16"/>
      <c r="D41" s="16" t="s">
        <v>142</v>
      </c>
      <c r="E41" s="17" t="s">
        <v>120</v>
      </c>
      <c r="F41" s="18" t="s">
        <v>492</v>
      </c>
      <c r="G41" s="19">
        <v>41821</v>
      </c>
      <c r="H41" s="54"/>
    </row>
    <row r="42" spans="1:8" ht="18.75" x14ac:dyDescent="0.25">
      <c r="A42" s="14">
        <f t="shared" si="0"/>
        <v>37</v>
      </c>
      <c r="B42" s="16"/>
      <c r="C42" s="16" t="s">
        <v>114</v>
      </c>
      <c r="D42" s="16"/>
      <c r="E42" s="17" t="s">
        <v>89</v>
      </c>
      <c r="F42" s="18" t="s">
        <v>492</v>
      </c>
      <c r="G42" s="19">
        <v>41821</v>
      </c>
      <c r="H42" s="54"/>
    </row>
    <row r="43" spans="1:8" ht="18.75" x14ac:dyDescent="0.25">
      <c r="A43" s="14">
        <f t="shared" si="0"/>
        <v>38</v>
      </c>
      <c r="B43" s="16"/>
      <c r="C43" s="16" t="s">
        <v>14</v>
      </c>
      <c r="D43" s="16"/>
      <c r="E43" s="17" t="s">
        <v>158</v>
      </c>
      <c r="F43" s="18" t="s">
        <v>492</v>
      </c>
      <c r="G43" s="19">
        <v>41821</v>
      </c>
      <c r="H43" s="54"/>
    </row>
    <row r="44" spans="1:8" ht="18.75" x14ac:dyDescent="0.25">
      <c r="A44" s="14">
        <f t="shared" si="0"/>
        <v>39</v>
      </c>
      <c r="B44" s="16"/>
      <c r="C44" s="16" t="s">
        <v>9</v>
      </c>
      <c r="D44" s="16"/>
      <c r="E44" s="17" t="s">
        <v>158</v>
      </c>
      <c r="F44" s="18" t="s">
        <v>492</v>
      </c>
      <c r="G44" s="19">
        <v>41821</v>
      </c>
      <c r="H44" s="54"/>
    </row>
    <row r="45" spans="1:8" ht="37.5" x14ac:dyDescent="0.25">
      <c r="A45" s="14">
        <f t="shared" si="0"/>
        <v>40</v>
      </c>
      <c r="B45" s="16" t="s">
        <v>164</v>
      </c>
      <c r="C45" s="16" t="s">
        <v>506</v>
      </c>
      <c r="D45" s="16"/>
      <c r="E45" s="17" t="s">
        <v>90</v>
      </c>
      <c r="F45" s="18" t="s">
        <v>492</v>
      </c>
      <c r="G45" s="19">
        <v>41822</v>
      </c>
      <c r="H45" s="54"/>
    </row>
    <row r="46" spans="1:8" ht="18.75" x14ac:dyDescent="0.25">
      <c r="A46" s="14">
        <f t="shared" si="0"/>
        <v>41</v>
      </c>
      <c r="B46" s="16"/>
      <c r="C46" s="16" t="s">
        <v>101</v>
      </c>
      <c r="D46" s="16"/>
      <c r="E46" s="17" t="s">
        <v>150</v>
      </c>
      <c r="F46" s="18" t="s">
        <v>492</v>
      </c>
      <c r="G46" s="19">
        <v>41822</v>
      </c>
      <c r="H46" s="54"/>
    </row>
    <row r="47" spans="1:8" s="57" customFormat="1" ht="18.75" x14ac:dyDescent="0.25">
      <c r="A47" s="14">
        <f t="shared" si="0"/>
        <v>42</v>
      </c>
      <c r="B47" s="16"/>
      <c r="C47" s="16" t="s">
        <v>547</v>
      </c>
      <c r="D47" s="16"/>
      <c r="E47" s="17" t="s">
        <v>150</v>
      </c>
      <c r="F47" s="18" t="s">
        <v>492</v>
      </c>
      <c r="G47" s="19">
        <v>41822</v>
      </c>
      <c r="H47" s="54"/>
    </row>
    <row r="48" spans="1:8" ht="18.75" x14ac:dyDescent="0.25">
      <c r="A48" s="14">
        <f t="shared" si="0"/>
        <v>43</v>
      </c>
      <c r="B48" s="16"/>
      <c r="C48" s="16" t="s">
        <v>53</v>
      </c>
      <c r="D48" s="16"/>
      <c r="E48" s="17" t="s">
        <v>150</v>
      </c>
      <c r="F48" s="18" t="s">
        <v>492</v>
      </c>
      <c r="G48" s="19">
        <v>41822</v>
      </c>
      <c r="H48" s="54"/>
    </row>
    <row r="49" spans="1:8" ht="18.75" x14ac:dyDescent="0.25">
      <c r="A49" s="14">
        <f t="shared" si="0"/>
        <v>44</v>
      </c>
      <c r="B49" s="16"/>
      <c r="C49" s="16" t="s">
        <v>129</v>
      </c>
      <c r="D49" s="16"/>
      <c r="E49" s="17" t="s">
        <v>150</v>
      </c>
      <c r="F49" s="18" t="s">
        <v>492</v>
      </c>
      <c r="G49" s="19">
        <v>41822</v>
      </c>
      <c r="H49" s="54"/>
    </row>
    <row r="50" spans="1:8" ht="18.75" x14ac:dyDescent="0.25">
      <c r="A50" s="14">
        <f t="shared" si="0"/>
        <v>45</v>
      </c>
      <c r="B50" s="16"/>
      <c r="C50" s="16" t="s">
        <v>143</v>
      </c>
      <c r="D50" s="16"/>
      <c r="E50" s="17" t="s">
        <v>150</v>
      </c>
      <c r="F50" s="18" t="s">
        <v>492</v>
      </c>
      <c r="G50" s="19">
        <v>41822</v>
      </c>
      <c r="H50" s="54"/>
    </row>
    <row r="51" spans="1:8" ht="18.75" x14ac:dyDescent="0.25">
      <c r="A51" s="14">
        <f t="shared" si="0"/>
        <v>46</v>
      </c>
      <c r="B51" s="16"/>
      <c r="C51" s="16" t="s">
        <v>144</v>
      </c>
      <c r="D51" s="16"/>
      <c r="E51" s="17" t="s">
        <v>150</v>
      </c>
      <c r="F51" s="18" t="s">
        <v>492</v>
      </c>
      <c r="G51" s="19">
        <v>41822</v>
      </c>
      <c r="H51" s="54"/>
    </row>
    <row r="52" spans="1:8" ht="18.75" x14ac:dyDescent="0.25">
      <c r="A52" s="14">
        <f t="shared" si="0"/>
        <v>47</v>
      </c>
      <c r="B52" s="16"/>
      <c r="C52" s="16" t="s">
        <v>145</v>
      </c>
      <c r="D52" s="16"/>
      <c r="E52" s="17" t="s">
        <v>150</v>
      </c>
      <c r="F52" s="18" t="s">
        <v>492</v>
      </c>
      <c r="G52" s="19">
        <v>41822</v>
      </c>
      <c r="H52" s="54"/>
    </row>
    <row r="53" spans="1:8" ht="18.75" x14ac:dyDescent="0.25">
      <c r="A53" s="14">
        <f t="shared" si="0"/>
        <v>48</v>
      </c>
      <c r="B53" s="16"/>
      <c r="C53" s="16" t="s">
        <v>120</v>
      </c>
      <c r="D53" s="16"/>
      <c r="E53" s="17" t="s">
        <v>150</v>
      </c>
      <c r="F53" s="18" t="s">
        <v>492</v>
      </c>
      <c r="G53" s="19">
        <v>41822</v>
      </c>
      <c r="H53" s="54"/>
    </row>
    <row r="54" spans="1:8" ht="18.75" x14ac:dyDescent="0.25">
      <c r="A54" s="14">
        <f t="shared" si="0"/>
        <v>49</v>
      </c>
      <c r="B54" s="16"/>
      <c r="C54" s="16" t="s">
        <v>146</v>
      </c>
      <c r="D54" s="16"/>
      <c r="E54" s="17" t="s">
        <v>150</v>
      </c>
      <c r="F54" s="18" t="s">
        <v>492</v>
      </c>
      <c r="G54" s="19">
        <v>41822</v>
      </c>
      <c r="H54" s="54"/>
    </row>
    <row r="55" spans="1:8" ht="18.75" x14ac:dyDescent="0.25">
      <c r="A55" s="14">
        <f t="shared" si="0"/>
        <v>50</v>
      </c>
      <c r="B55" s="16"/>
      <c r="C55" s="16" t="s">
        <v>147</v>
      </c>
      <c r="D55" s="16"/>
      <c r="E55" s="17" t="s">
        <v>150</v>
      </c>
      <c r="F55" s="18" t="s">
        <v>492</v>
      </c>
      <c r="G55" s="19">
        <v>41822</v>
      </c>
      <c r="H55" s="54"/>
    </row>
    <row r="56" spans="1:8" ht="18.75" x14ac:dyDescent="0.25">
      <c r="A56" s="14">
        <f t="shared" si="0"/>
        <v>51</v>
      </c>
      <c r="B56" s="16"/>
      <c r="C56" s="16" t="s">
        <v>148</v>
      </c>
      <c r="D56" s="16"/>
      <c r="E56" s="17" t="s">
        <v>150</v>
      </c>
      <c r="F56" s="18" t="s">
        <v>492</v>
      </c>
      <c r="G56" s="19">
        <v>41822</v>
      </c>
      <c r="H56" s="54"/>
    </row>
    <row r="57" spans="1:8" ht="18.75" x14ac:dyDescent="0.25">
      <c r="A57" s="14">
        <f t="shared" si="0"/>
        <v>52</v>
      </c>
      <c r="B57" s="16"/>
      <c r="C57" s="16" t="s">
        <v>149</v>
      </c>
      <c r="D57" s="16"/>
      <c r="E57" s="17" t="s">
        <v>150</v>
      </c>
      <c r="F57" s="18" t="s">
        <v>492</v>
      </c>
      <c r="G57" s="19">
        <v>41822</v>
      </c>
      <c r="H57" s="54"/>
    </row>
    <row r="58" spans="1:8" ht="18.75" x14ac:dyDescent="0.25">
      <c r="A58" s="14">
        <f t="shared" si="0"/>
        <v>53</v>
      </c>
      <c r="B58" s="16"/>
      <c r="C58" s="16" t="s">
        <v>116</v>
      </c>
      <c r="D58" s="16"/>
      <c r="E58" s="17" t="s">
        <v>150</v>
      </c>
      <c r="F58" s="18"/>
      <c r="G58" s="19"/>
      <c r="H58" s="54"/>
    </row>
    <row r="59" spans="1:8" ht="18.75" x14ac:dyDescent="0.25">
      <c r="A59" s="14">
        <f t="shared" si="0"/>
        <v>54</v>
      </c>
      <c r="B59" s="16" t="s">
        <v>507</v>
      </c>
      <c r="C59" s="16" t="s">
        <v>146</v>
      </c>
      <c r="D59" s="16"/>
      <c r="E59" s="17" t="s">
        <v>89</v>
      </c>
      <c r="F59" s="18" t="s">
        <v>492</v>
      </c>
      <c r="G59" s="19">
        <v>41822</v>
      </c>
      <c r="H59" s="54"/>
    </row>
    <row r="60" spans="1:8" ht="18.75" x14ac:dyDescent="0.25">
      <c r="A60" s="14">
        <f t="shared" si="0"/>
        <v>55</v>
      </c>
      <c r="B60" s="16"/>
      <c r="C60" s="16" t="s">
        <v>508</v>
      </c>
      <c r="D60" s="16"/>
      <c r="E60" s="17" t="s">
        <v>120</v>
      </c>
      <c r="F60" s="18" t="s">
        <v>492</v>
      </c>
      <c r="G60" s="19">
        <v>41822</v>
      </c>
      <c r="H60" s="54"/>
    </row>
    <row r="61" spans="1:8" ht="18.75" x14ac:dyDescent="0.25">
      <c r="A61" s="14">
        <f t="shared" si="0"/>
        <v>56</v>
      </c>
      <c r="B61" s="16"/>
      <c r="C61" s="16"/>
      <c r="D61" s="16" t="s">
        <v>101</v>
      </c>
      <c r="E61" s="17" t="s">
        <v>150</v>
      </c>
      <c r="F61" s="18" t="s">
        <v>492</v>
      </c>
      <c r="G61" s="19">
        <v>41822</v>
      </c>
      <c r="H61" s="54"/>
    </row>
    <row r="62" spans="1:8" s="57" customFormat="1" ht="18.75" x14ac:dyDescent="0.25">
      <c r="A62" s="14">
        <f t="shared" si="0"/>
        <v>57</v>
      </c>
      <c r="B62" s="16"/>
      <c r="C62" s="16"/>
      <c r="D62" s="16" t="s">
        <v>547</v>
      </c>
      <c r="E62" s="17" t="s">
        <v>150</v>
      </c>
      <c r="F62" s="18" t="s">
        <v>492</v>
      </c>
      <c r="G62" s="19">
        <v>41822</v>
      </c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53</v>
      </c>
      <c r="E63" s="17" t="s">
        <v>150</v>
      </c>
      <c r="F63" s="18" t="s">
        <v>492</v>
      </c>
      <c r="G63" s="19">
        <v>41822</v>
      </c>
      <c r="H63" s="54"/>
    </row>
    <row r="64" spans="1:8" ht="18.75" x14ac:dyDescent="0.25">
      <c r="A64" s="14">
        <f t="shared" si="0"/>
        <v>59</v>
      </c>
      <c r="B64" s="16"/>
      <c r="C64" s="16"/>
      <c r="D64" s="16" t="s">
        <v>129</v>
      </c>
      <c r="E64" s="17" t="s">
        <v>150</v>
      </c>
      <c r="F64" s="18" t="s">
        <v>492</v>
      </c>
      <c r="G64" s="19">
        <v>41822</v>
      </c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143</v>
      </c>
      <c r="E65" s="17" t="s">
        <v>150</v>
      </c>
      <c r="F65" s="18" t="s">
        <v>492</v>
      </c>
      <c r="G65" s="19">
        <v>41822</v>
      </c>
      <c r="H65" s="54"/>
    </row>
    <row r="66" spans="1:8" ht="18.75" x14ac:dyDescent="0.25">
      <c r="A66" s="14">
        <f t="shared" si="0"/>
        <v>61</v>
      </c>
      <c r="B66" s="16"/>
      <c r="C66" s="16"/>
      <c r="D66" s="16" t="s">
        <v>144</v>
      </c>
      <c r="E66" s="17" t="s">
        <v>150</v>
      </c>
      <c r="F66" s="18" t="s">
        <v>492</v>
      </c>
      <c r="G66" s="19">
        <v>41822</v>
      </c>
      <c r="H66" s="54"/>
    </row>
    <row r="67" spans="1:8" ht="18.75" x14ac:dyDescent="0.25">
      <c r="A67" s="14">
        <f t="shared" si="0"/>
        <v>62</v>
      </c>
      <c r="B67" s="16"/>
      <c r="C67" s="16"/>
      <c r="D67" s="16" t="s">
        <v>145</v>
      </c>
      <c r="E67" s="17" t="s">
        <v>150</v>
      </c>
      <c r="F67" s="18" t="s">
        <v>492</v>
      </c>
      <c r="G67" s="19">
        <v>41822</v>
      </c>
      <c r="H67" s="54"/>
    </row>
    <row r="68" spans="1:8" ht="18.75" x14ac:dyDescent="0.25">
      <c r="A68" s="14">
        <f t="shared" si="0"/>
        <v>63</v>
      </c>
      <c r="B68" s="16"/>
      <c r="C68" s="16"/>
      <c r="D68" s="16" t="s">
        <v>120</v>
      </c>
      <c r="E68" s="17" t="s">
        <v>150</v>
      </c>
      <c r="F68" s="18" t="s">
        <v>492</v>
      </c>
      <c r="G68" s="19">
        <v>41822</v>
      </c>
      <c r="H68" s="54"/>
    </row>
    <row r="69" spans="1:8" ht="18.75" x14ac:dyDescent="0.25">
      <c r="A69" s="14">
        <f t="shared" si="0"/>
        <v>64</v>
      </c>
      <c r="B69" s="16"/>
      <c r="C69" s="16"/>
      <c r="D69" s="16" t="s">
        <v>146</v>
      </c>
      <c r="E69" s="17" t="s">
        <v>150</v>
      </c>
      <c r="F69" s="18" t="s">
        <v>492</v>
      </c>
      <c r="G69" s="19">
        <v>41822</v>
      </c>
      <c r="H69" s="54"/>
    </row>
    <row r="70" spans="1:8" ht="18.75" x14ac:dyDescent="0.25">
      <c r="A70" s="14">
        <f t="shared" si="0"/>
        <v>65</v>
      </c>
      <c r="B70" s="16"/>
      <c r="C70" s="16"/>
      <c r="D70" s="16" t="s">
        <v>147</v>
      </c>
      <c r="E70" s="17" t="s">
        <v>150</v>
      </c>
      <c r="F70" s="18" t="s">
        <v>492</v>
      </c>
      <c r="G70" s="19">
        <v>41822</v>
      </c>
      <c r="H70" s="54"/>
    </row>
    <row r="71" spans="1:8" ht="18.75" x14ac:dyDescent="0.25">
      <c r="A71" s="14">
        <f t="shared" si="0"/>
        <v>66</v>
      </c>
      <c r="B71" s="16"/>
      <c r="C71" s="16"/>
      <c r="D71" s="16" t="s">
        <v>148</v>
      </c>
      <c r="E71" s="17" t="s">
        <v>150</v>
      </c>
      <c r="F71" s="18" t="s">
        <v>492</v>
      </c>
      <c r="G71" s="19">
        <v>41822</v>
      </c>
      <c r="H71" s="54"/>
    </row>
    <row r="72" spans="1:8" ht="18.75" x14ac:dyDescent="0.25">
      <c r="A72" s="14">
        <f t="shared" si="0"/>
        <v>67</v>
      </c>
      <c r="B72" s="16"/>
      <c r="C72" s="16"/>
      <c r="D72" s="16" t="s">
        <v>149</v>
      </c>
      <c r="E72" s="17" t="s">
        <v>150</v>
      </c>
      <c r="F72" s="18" t="s">
        <v>492</v>
      </c>
      <c r="G72" s="19">
        <v>41822</v>
      </c>
      <c r="H72" s="54"/>
    </row>
    <row r="73" spans="1:8" ht="18.75" x14ac:dyDescent="0.25">
      <c r="A73" s="14">
        <f t="shared" si="0"/>
        <v>68</v>
      </c>
      <c r="B73" s="16"/>
      <c r="C73" s="16"/>
      <c r="D73" s="16" t="s">
        <v>116</v>
      </c>
      <c r="E73" s="17" t="s">
        <v>150</v>
      </c>
      <c r="F73" s="18"/>
      <c r="G73" s="19"/>
      <c r="H73" s="54"/>
    </row>
    <row r="74" spans="1:8" ht="18.75" x14ac:dyDescent="0.25">
      <c r="A74" s="14">
        <f t="shared" si="0"/>
        <v>69</v>
      </c>
      <c r="B74" s="16"/>
      <c r="C74" s="16" t="s">
        <v>200</v>
      </c>
      <c r="D74" s="16"/>
      <c r="E74" s="17" t="s">
        <v>92</v>
      </c>
      <c r="F74" s="18" t="s">
        <v>492</v>
      </c>
      <c r="G74" s="19">
        <v>41822</v>
      </c>
      <c r="H74" s="54"/>
    </row>
    <row r="75" spans="1:8" ht="18.75" x14ac:dyDescent="0.25">
      <c r="A75" s="14">
        <f t="shared" si="0"/>
        <v>70</v>
      </c>
      <c r="B75" s="16"/>
      <c r="C75" s="16" t="s">
        <v>509</v>
      </c>
      <c r="D75" s="16"/>
      <c r="E75" s="17" t="s">
        <v>90</v>
      </c>
      <c r="F75" s="18" t="s">
        <v>492</v>
      </c>
      <c r="G75" s="19">
        <v>41822</v>
      </c>
      <c r="H75" s="54"/>
    </row>
    <row r="76" spans="1:8" ht="18.75" x14ac:dyDescent="0.25">
      <c r="A76" s="14">
        <f t="shared" si="0"/>
        <v>71</v>
      </c>
      <c r="B76" s="16"/>
      <c r="C76" s="16" t="s">
        <v>510</v>
      </c>
      <c r="D76" s="16"/>
      <c r="E76" s="17" t="s">
        <v>90</v>
      </c>
      <c r="F76" s="18" t="s">
        <v>492</v>
      </c>
      <c r="G76" s="19">
        <v>41822</v>
      </c>
      <c r="H76" s="54"/>
    </row>
    <row r="77" spans="1:8" ht="18.75" x14ac:dyDescent="0.25">
      <c r="A77" s="14">
        <f t="shared" si="0"/>
        <v>72</v>
      </c>
      <c r="B77" s="16"/>
      <c r="C77" s="16" t="s">
        <v>511</v>
      </c>
      <c r="D77" s="16"/>
      <c r="E77" s="17" t="s">
        <v>90</v>
      </c>
      <c r="F77" s="18" t="s">
        <v>492</v>
      </c>
      <c r="G77" s="19">
        <v>41822</v>
      </c>
      <c r="H77" s="54"/>
    </row>
    <row r="78" spans="1:8" ht="18.75" x14ac:dyDescent="0.25">
      <c r="A78" s="14">
        <f t="shared" si="0"/>
        <v>73</v>
      </c>
      <c r="B78" s="16"/>
      <c r="C78" s="16" t="s">
        <v>512</v>
      </c>
      <c r="D78" s="16"/>
      <c r="E78" s="17" t="s">
        <v>120</v>
      </c>
      <c r="F78" s="18" t="s">
        <v>492</v>
      </c>
      <c r="G78" s="19">
        <v>41822</v>
      </c>
      <c r="H78" s="54"/>
    </row>
    <row r="79" spans="1:8" ht="18.75" x14ac:dyDescent="0.25">
      <c r="A79" s="14">
        <f t="shared" si="0"/>
        <v>74</v>
      </c>
      <c r="B79" s="16"/>
      <c r="C79" s="16"/>
      <c r="D79" s="16" t="s">
        <v>513</v>
      </c>
      <c r="E79" s="17" t="s">
        <v>185</v>
      </c>
      <c r="F79" s="18" t="s">
        <v>492</v>
      </c>
      <c r="G79" s="19">
        <v>41822</v>
      </c>
      <c r="H79" s="54"/>
    </row>
    <row r="80" spans="1:8" ht="18.75" x14ac:dyDescent="0.25">
      <c r="A80" s="14">
        <f t="shared" si="0"/>
        <v>75</v>
      </c>
      <c r="B80" s="16"/>
      <c r="C80" s="16"/>
      <c r="D80" s="16" t="s">
        <v>516</v>
      </c>
      <c r="E80" s="17" t="s">
        <v>185</v>
      </c>
      <c r="F80" s="18" t="s">
        <v>492</v>
      </c>
      <c r="G80" s="19">
        <v>41822</v>
      </c>
      <c r="H80" s="54"/>
    </row>
    <row r="81" spans="1:8" ht="37.5" x14ac:dyDescent="0.25">
      <c r="A81" s="14">
        <f t="shared" si="0"/>
        <v>76</v>
      </c>
      <c r="B81" s="16" t="s">
        <v>515</v>
      </c>
      <c r="C81" s="16" t="s">
        <v>145</v>
      </c>
      <c r="D81" s="16"/>
      <c r="E81" s="17" t="s">
        <v>89</v>
      </c>
      <c r="F81" s="18" t="s">
        <v>492</v>
      </c>
      <c r="G81" s="19">
        <v>41822</v>
      </c>
      <c r="H81" s="54"/>
    </row>
    <row r="82" spans="1:8" ht="18.75" x14ac:dyDescent="0.25">
      <c r="A82" s="14">
        <f t="shared" si="0"/>
        <v>77</v>
      </c>
      <c r="B82" s="16"/>
      <c r="C82" s="16" t="s">
        <v>509</v>
      </c>
      <c r="D82" s="16"/>
      <c r="E82" s="17" t="s">
        <v>90</v>
      </c>
      <c r="F82" s="18" t="s">
        <v>492</v>
      </c>
      <c r="G82" s="19">
        <v>41822</v>
      </c>
      <c r="H82" s="54"/>
    </row>
    <row r="83" spans="1:8" ht="18.75" x14ac:dyDescent="0.25">
      <c r="A83" s="14">
        <f t="shared" si="0"/>
        <v>78</v>
      </c>
      <c r="B83" s="16"/>
      <c r="C83" s="16" t="s">
        <v>514</v>
      </c>
      <c r="D83" s="16"/>
      <c r="E83" s="17" t="s">
        <v>95</v>
      </c>
      <c r="F83" s="18" t="s">
        <v>492</v>
      </c>
      <c r="G83" s="19">
        <v>41822</v>
      </c>
      <c r="H83" s="54"/>
    </row>
    <row r="84" spans="1:8" ht="18.75" x14ac:dyDescent="0.25">
      <c r="A84" s="14">
        <f t="shared" ref="A84:A147" si="1">+A83+1</f>
        <v>79</v>
      </c>
      <c r="B84" s="16"/>
      <c r="C84" s="16" t="s">
        <v>512</v>
      </c>
      <c r="D84" s="16"/>
      <c r="E84" s="17" t="s">
        <v>120</v>
      </c>
      <c r="F84" s="18" t="s">
        <v>492</v>
      </c>
      <c r="G84" s="19">
        <v>41822</v>
      </c>
      <c r="H84" s="54"/>
    </row>
    <row r="85" spans="1:8" ht="18.75" x14ac:dyDescent="0.25">
      <c r="A85" s="14">
        <f t="shared" si="1"/>
        <v>80</v>
      </c>
      <c r="B85" s="16"/>
      <c r="C85" s="16"/>
      <c r="D85" s="16" t="s">
        <v>513</v>
      </c>
      <c r="E85" s="17" t="s">
        <v>185</v>
      </c>
      <c r="F85" s="18" t="s">
        <v>492</v>
      </c>
      <c r="G85" s="19">
        <v>41822</v>
      </c>
      <c r="H85" s="54"/>
    </row>
    <row r="86" spans="1:8" ht="18.75" x14ac:dyDescent="0.25">
      <c r="A86" s="14">
        <f t="shared" si="1"/>
        <v>81</v>
      </c>
      <c r="B86" s="16"/>
      <c r="C86" s="16"/>
      <c r="D86" s="16" t="s">
        <v>145</v>
      </c>
      <c r="E86" s="17" t="s">
        <v>185</v>
      </c>
      <c r="F86" s="18" t="s">
        <v>492</v>
      </c>
      <c r="G86" s="19">
        <v>41822</v>
      </c>
      <c r="H86" s="54"/>
    </row>
    <row r="87" spans="1:8" ht="18.75" x14ac:dyDescent="0.25">
      <c r="A87" s="14">
        <f t="shared" si="1"/>
        <v>82</v>
      </c>
      <c r="B87" s="16" t="s">
        <v>517</v>
      </c>
      <c r="C87" s="16" t="s">
        <v>508</v>
      </c>
      <c r="D87" s="16"/>
      <c r="E87" s="17" t="s">
        <v>120</v>
      </c>
      <c r="F87" s="18" t="s">
        <v>492</v>
      </c>
      <c r="G87" s="19">
        <v>41822</v>
      </c>
      <c r="H87" s="54"/>
    </row>
    <row r="88" spans="1:8" ht="18.75" x14ac:dyDescent="0.25">
      <c r="A88" s="14">
        <f t="shared" si="1"/>
        <v>83</v>
      </c>
      <c r="B88" s="16"/>
      <c r="C88" s="16" t="s">
        <v>509</v>
      </c>
      <c r="D88" s="16"/>
      <c r="E88" s="17" t="s">
        <v>90</v>
      </c>
      <c r="F88" s="18" t="s">
        <v>492</v>
      </c>
      <c r="G88" s="19">
        <v>41822</v>
      </c>
      <c r="H88" s="54"/>
    </row>
    <row r="89" spans="1:8" ht="18.75" x14ac:dyDescent="0.25">
      <c r="A89" s="14">
        <f t="shared" si="1"/>
        <v>84</v>
      </c>
      <c r="B89" s="16"/>
      <c r="C89" s="16" t="s">
        <v>510</v>
      </c>
      <c r="D89" s="16"/>
      <c r="E89" s="17" t="s">
        <v>90</v>
      </c>
      <c r="F89" s="18" t="s">
        <v>492</v>
      </c>
      <c r="G89" s="19">
        <v>41822</v>
      </c>
      <c r="H89" s="54"/>
    </row>
    <row r="90" spans="1:8" ht="18.75" x14ac:dyDescent="0.25">
      <c r="A90" s="14">
        <f t="shared" si="1"/>
        <v>85</v>
      </c>
      <c r="B90" s="16"/>
      <c r="C90" s="16" t="s">
        <v>511</v>
      </c>
      <c r="D90" s="16"/>
      <c r="E90" s="17" t="s">
        <v>90</v>
      </c>
      <c r="F90" s="18" t="s">
        <v>492</v>
      </c>
      <c r="G90" s="19">
        <v>41822</v>
      </c>
      <c r="H90" s="54"/>
    </row>
    <row r="91" spans="1:8" ht="18.75" x14ac:dyDescent="0.25">
      <c r="A91" s="14">
        <f t="shared" si="1"/>
        <v>86</v>
      </c>
      <c r="B91" s="16"/>
      <c r="C91" s="16" t="s">
        <v>512</v>
      </c>
      <c r="D91" s="16"/>
      <c r="E91" s="17" t="s">
        <v>120</v>
      </c>
      <c r="F91" s="18" t="s">
        <v>492</v>
      </c>
      <c r="G91" s="19">
        <v>41822</v>
      </c>
      <c r="H91" s="54"/>
    </row>
    <row r="92" spans="1:8" ht="18.75" x14ac:dyDescent="0.25">
      <c r="A92" s="14">
        <f t="shared" si="1"/>
        <v>87</v>
      </c>
      <c r="B92" s="16"/>
      <c r="C92" s="16"/>
      <c r="D92" s="16" t="s">
        <v>513</v>
      </c>
      <c r="E92" s="17" t="s">
        <v>185</v>
      </c>
      <c r="F92" s="18" t="s">
        <v>492</v>
      </c>
      <c r="G92" s="19">
        <v>41822</v>
      </c>
      <c r="H92" s="54"/>
    </row>
    <row r="93" spans="1:8" ht="18.75" x14ac:dyDescent="0.25">
      <c r="A93" s="14">
        <f t="shared" si="1"/>
        <v>88</v>
      </c>
      <c r="B93" s="16"/>
      <c r="C93" s="16"/>
      <c r="D93" s="16" t="s">
        <v>516</v>
      </c>
      <c r="E93" s="17" t="s">
        <v>185</v>
      </c>
      <c r="F93" s="18" t="s">
        <v>492</v>
      </c>
      <c r="G93" s="19">
        <v>41822</v>
      </c>
      <c r="H93" s="54"/>
    </row>
    <row r="94" spans="1:8" ht="18.75" x14ac:dyDescent="0.25">
      <c r="A94" s="14">
        <f t="shared" si="1"/>
        <v>89</v>
      </c>
      <c r="B94" s="16"/>
      <c r="C94" s="16" t="s">
        <v>155</v>
      </c>
      <c r="D94" s="16"/>
      <c r="E94" s="17" t="s">
        <v>95</v>
      </c>
      <c r="F94" s="18" t="s">
        <v>492</v>
      </c>
      <c r="G94" s="19">
        <v>41822</v>
      </c>
      <c r="H94" s="54"/>
    </row>
    <row r="95" spans="1:8" ht="18.75" x14ac:dyDescent="0.25">
      <c r="A95" s="14">
        <f t="shared" si="1"/>
        <v>90</v>
      </c>
      <c r="B95" s="16"/>
      <c r="C95" s="16" t="s">
        <v>156</v>
      </c>
      <c r="D95" s="16"/>
      <c r="E95" s="17" t="s">
        <v>95</v>
      </c>
      <c r="F95" s="18" t="s">
        <v>492</v>
      </c>
      <c r="G95" s="19">
        <v>41822</v>
      </c>
      <c r="H95" s="54"/>
    </row>
    <row r="96" spans="1:8" ht="18.75" x14ac:dyDescent="0.25">
      <c r="A96" s="14">
        <f t="shared" si="1"/>
        <v>91</v>
      </c>
      <c r="B96" s="16"/>
      <c r="C96" s="16" t="s">
        <v>157</v>
      </c>
      <c r="D96" s="16"/>
      <c r="E96" s="17" t="s">
        <v>150</v>
      </c>
      <c r="F96" s="18" t="s">
        <v>492</v>
      </c>
      <c r="G96" s="19">
        <v>41822</v>
      </c>
      <c r="H96" s="54"/>
    </row>
    <row r="97" spans="1:8" s="60" customFormat="1" ht="37.5" x14ac:dyDescent="0.25">
      <c r="A97" s="14">
        <f t="shared" si="1"/>
        <v>92</v>
      </c>
      <c r="B97" s="61" t="s">
        <v>557</v>
      </c>
      <c r="C97" s="61" t="s">
        <v>104</v>
      </c>
      <c r="D97" s="61" t="s">
        <v>108</v>
      </c>
      <c r="E97" s="17" t="s">
        <v>249</v>
      </c>
      <c r="F97" s="18" t="s">
        <v>492</v>
      </c>
      <c r="G97" s="19">
        <v>41822</v>
      </c>
      <c r="H97" s="54"/>
    </row>
    <row r="98" spans="1:8" s="60" customFormat="1" ht="18.75" x14ac:dyDescent="0.25">
      <c r="A98" s="14">
        <f t="shared" si="1"/>
        <v>93</v>
      </c>
      <c r="B98" s="61"/>
      <c r="C98" s="61" t="s">
        <v>105</v>
      </c>
      <c r="D98" s="61"/>
      <c r="E98" s="17" t="s">
        <v>249</v>
      </c>
      <c r="F98" s="18" t="s">
        <v>492</v>
      </c>
      <c r="G98" s="19">
        <v>41822</v>
      </c>
      <c r="H98" s="54"/>
    </row>
    <row r="99" spans="1:8" s="60" customFormat="1" ht="18.75" x14ac:dyDescent="0.25">
      <c r="A99" s="14">
        <f t="shared" si="1"/>
        <v>94</v>
      </c>
      <c r="B99" s="61"/>
      <c r="C99" s="61" t="s">
        <v>558</v>
      </c>
      <c r="D99" s="61"/>
      <c r="E99" s="17" t="s">
        <v>158</v>
      </c>
      <c r="F99" s="18" t="s">
        <v>492</v>
      </c>
      <c r="G99" s="19">
        <v>41822</v>
      </c>
      <c r="H99" s="54"/>
    </row>
    <row r="100" spans="1:8" ht="37.5" x14ac:dyDescent="0.25">
      <c r="A100" s="14">
        <f t="shared" si="1"/>
        <v>95</v>
      </c>
      <c r="B100" s="16" t="s">
        <v>195</v>
      </c>
      <c r="C100" s="16" t="s">
        <v>11</v>
      </c>
      <c r="D100" s="16"/>
      <c r="E100" s="17" t="s">
        <v>158</v>
      </c>
      <c r="F100" s="18" t="s">
        <v>492</v>
      </c>
      <c r="G100" s="19">
        <v>41822</v>
      </c>
      <c r="H100" s="54"/>
    </row>
    <row r="101" spans="1:8" ht="18.75" x14ac:dyDescent="0.25">
      <c r="A101" s="14">
        <f t="shared" si="1"/>
        <v>96</v>
      </c>
      <c r="B101" s="16"/>
      <c r="C101" s="16" t="s">
        <v>56</v>
      </c>
      <c r="D101" s="16"/>
      <c r="E101" s="17" t="s">
        <v>158</v>
      </c>
      <c r="F101" s="18" t="s">
        <v>492</v>
      </c>
      <c r="G101" s="19">
        <v>41822</v>
      </c>
      <c r="H101" s="54"/>
    </row>
    <row r="102" spans="1:8" ht="18.75" x14ac:dyDescent="0.25">
      <c r="A102" s="14">
        <f t="shared" si="1"/>
        <v>97</v>
      </c>
      <c r="B102" s="16"/>
      <c r="C102" s="16" t="s">
        <v>12</v>
      </c>
      <c r="D102" s="16"/>
      <c r="E102" s="17" t="s">
        <v>158</v>
      </c>
      <c r="F102" s="18" t="s">
        <v>492</v>
      </c>
      <c r="G102" s="19">
        <v>41822</v>
      </c>
      <c r="H102" s="54"/>
    </row>
    <row r="103" spans="1:8" ht="18.75" x14ac:dyDescent="0.25">
      <c r="A103" s="14">
        <f t="shared" si="1"/>
        <v>98</v>
      </c>
      <c r="B103" s="16"/>
      <c r="C103" s="16" t="s">
        <v>13</v>
      </c>
      <c r="D103" s="16"/>
      <c r="E103" s="17" t="s">
        <v>158</v>
      </c>
      <c r="F103" s="18" t="s">
        <v>492</v>
      </c>
      <c r="G103" s="19">
        <v>41822</v>
      </c>
      <c r="H103" s="54"/>
    </row>
    <row r="104" spans="1:8" ht="18.75" x14ac:dyDescent="0.25">
      <c r="A104" s="14">
        <f t="shared" si="1"/>
        <v>99</v>
      </c>
      <c r="B104" s="16" t="s">
        <v>196</v>
      </c>
      <c r="C104" s="16" t="s">
        <v>159</v>
      </c>
      <c r="D104" s="16"/>
      <c r="E104" s="17" t="s">
        <v>91</v>
      </c>
      <c r="F104" s="18" t="s">
        <v>492</v>
      </c>
      <c r="G104" s="19">
        <v>41822</v>
      </c>
      <c r="H104" s="54"/>
    </row>
    <row r="105" spans="1:8" ht="18.75" x14ac:dyDescent="0.25">
      <c r="A105" s="14">
        <f t="shared" si="1"/>
        <v>100</v>
      </c>
      <c r="B105" s="16"/>
      <c r="C105" s="16" t="s">
        <v>160</v>
      </c>
      <c r="D105" s="16"/>
      <c r="E105" s="17" t="s">
        <v>90</v>
      </c>
      <c r="F105" s="18" t="s">
        <v>492</v>
      </c>
      <c r="G105" s="19">
        <v>41822</v>
      </c>
      <c r="H105" s="54"/>
    </row>
    <row r="106" spans="1:8" ht="18.75" x14ac:dyDescent="0.25">
      <c r="A106" s="14">
        <f t="shared" si="1"/>
        <v>101</v>
      </c>
      <c r="B106" s="16"/>
      <c r="C106" s="16" t="s">
        <v>191</v>
      </c>
      <c r="D106" s="16"/>
      <c r="E106" s="17" t="s">
        <v>95</v>
      </c>
      <c r="F106" s="18" t="s">
        <v>492</v>
      </c>
      <c r="G106" s="19">
        <v>41822</v>
      </c>
      <c r="H106" s="54"/>
    </row>
    <row r="107" spans="1:8" ht="18.75" x14ac:dyDescent="0.25">
      <c r="A107" s="14">
        <f t="shared" si="1"/>
        <v>102</v>
      </c>
      <c r="B107" s="16"/>
      <c r="C107" s="16" t="s">
        <v>241</v>
      </c>
      <c r="D107" s="16"/>
      <c r="E107" s="17" t="s">
        <v>95</v>
      </c>
      <c r="F107" s="18" t="s">
        <v>492</v>
      </c>
      <c r="G107" s="19">
        <v>41822</v>
      </c>
      <c r="H107" s="54"/>
    </row>
    <row r="108" spans="1:8" ht="18.75" x14ac:dyDescent="0.25">
      <c r="A108" s="14">
        <f t="shared" si="1"/>
        <v>103</v>
      </c>
      <c r="B108" s="16"/>
      <c r="C108" s="16"/>
      <c r="D108" s="16" t="s">
        <v>339</v>
      </c>
      <c r="E108" s="17" t="s">
        <v>90</v>
      </c>
      <c r="F108" s="18" t="s">
        <v>492</v>
      </c>
      <c r="G108" s="19">
        <v>41822</v>
      </c>
      <c r="H108" s="54"/>
    </row>
    <row r="109" spans="1:8" ht="18.75" x14ac:dyDescent="0.25">
      <c r="A109" s="14">
        <f t="shared" si="1"/>
        <v>104</v>
      </c>
      <c r="B109" s="16"/>
      <c r="C109" s="16"/>
      <c r="D109" s="16" t="s">
        <v>340</v>
      </c>
      <c r="E109" s="17" t="s">
        <v>90</v>
      </c>
      <c r="F109" s="18" t="s">
        <v>492</v>
      </c>
      <c r="G109" s="19">
        <v>41822</v>
      </c>
      <c r="H109" s="54"/>
    </row>
    <row r="110" spans="1:8" ht="18.75" x14ac:dyDescent="0.25">
      <c r="A110" s="14">
        <f t="shared" si="1"/>
        <v>105</v>
      </c>
      <c r="B110" s="16"/>
      <c r="C110" s="16" t="s">
        <v>197</v>
      </c>
      <c r="D110" s="16"/>
      <c r="E110" s="17" t="s">
        <v>95</v>
      </c>
      <c r="F110" s="18" t="s">
        <v>492</v>
      </c>
      <c r="G110" s="19">
        <v>41822</v>
      </c>
      <c r="H110" s="54"/>
    </row>
    <row r="111" spans="1:8" ht="18.75" x14ac:dyDescent="0.25">
      <c r="A111" s="14">
        <f t="shared" si="1"/>
        <v>106</v>
      </c>
      <c r="B111" s="16"/>
      <c r="C111" s="16" t="s">
        <v>161</v>
      </c>
      <c r="D111" s="16"/>
      <c r="E111" s="17" t="s">
        <v>90</v>
      </c>
      <c r="F111" s="18" t="s">
        <v>492</v>
      </c>
      <c r="G111" s="19">
        <v>41822</v>
      </c>
      <c r="H111" s="54"/>
    </row>
    <row r="112" spans="1:8" ht="18.75" x14ac:dyDescent="0.25">
      <c r="A112" s="14">
        <f t="shared" si="1"/>
        <v>107</v>
      </c>
      <c r="B112" s="16" t="s">
        <v>192</v>
      </c>
      <c r="C112" s="16" t="s">
        <v>159</v>
      </c>
      <c r="D112" s="16"/>
      <c r="E112" s="17" t="s">
        <v>89</v>
      </c>
      <c r="F112" s="18" t="s">
        <v>492</v>
      </c>
      <c r="G112" s="19">
        <v>41822</v>
      </c>
      <c r="H112" s="54"/>
    </row>
    <row r="113" spans="1:8" ht="18.75" x14ac:dyDescent="0.25">
      <c r="A113" s="14">
        <f t="shared" si="1"/>
        <v>108</v>
      </c>
      <c r="B113" s="16"/>
      <c r="C113" s="16" t="s">
        <v>165</v>
      </c>
      <c r="D113" s="16"/>
      <c r="E113" s="17" t="s">
        <v>120</v>
      </c>
      <c r="F113" s="18" t="s">
        <v>492</v>
      </c>
      <c r="G113" s="19">
        <v>41822</v>
      </c>
      <c r="H113" s="54"/>
    </row>
    <row r="114" spans="1:8" ht="18.75" x14ac:dyDescent="0.25">
      <c r="A114" s="14">
        <f t="shared" si="1"/>
        <v>109</v>
      </c>
      <c r="B114" s="16"/>
      <c r="C114" s="16" t="s">
        <v>166</v>
      </c>
      <c r="D114" s="16"/>
      <c r="E114" s="17" t="s">
        <v>89</v>
      </c>
      <c r="F114" s="18" t="s">
        <v>492</v>
      </c>
      <c r="G114" s="19">
        <v>41822</v>
      </c>
      <c r="H114" s="54"/>
    </row>
    <row r="115" spans="1:8" ht="18.75" x14ac:dyDescent="0.25">
      <c r="A115" s="14">
        <f t="shared" si="1"/>
        <v>110</v>
      </c>
      <c r="B115" s="16"/>
      <c r="C115" s="16" t="s">
        <v>167</v>
      </c>
      <c r="D115" s="16"/>
      <c r="E115" s="17" t="s">
        <v>120</v>
      </c>
      <c r="F115" s="18" t="s">
        <v>492</v>
      </c>
      <c r="G115" s="19">
        <v>41822</v>
      </c>
      <c r="H115" s="54"/>
    </row>
    <row r="116" spans="1:8" ht="18.75" x14ac:dyDescent="0.25">
      <c r="A116" s="14">
        <f t="shared" si="1"/>
        <v>111</v>
      </c>
      <c r="B116" s="16"/>
      <c r="C116" s="16" t="s">
        <v>168</v>
      </c>
      <c r="D116" s="16"/>
      <c r="E116" s="17" t="s">
        <v>89</v>
      </c>
      <c r="F116" s="18" t="s">
        <v>492</v>
      </c>
      <c r="G116" s="19">
        <v>41822</v>
      </c>
      <c r="H116" s="54"/>
    </row>
    <row r="117" spans="1:8" ht="18.75" x14ac:dyDescent="0.25">
      <c r="A117" s="14">
        <f t="shared" si="1"/>
        <v>112</v>
      </c>
      <c r="B117" s="16"/>
      <c r="C117" s="16" t="s">
        <v>189</v>
      </c>
      <c r="D117" s="16"/>
      <c r="E117" s="17" t="s">
        <v>95</v>
      </c>
      <c r="F117" s="18" t="s">
        <v>492</v>
      </c>
      <c r="G117" s="19">
        <v>41822</v>
      </c>
      <c r="H117" s="54"/>
    </row>
    <row r="118" spans="1:8" ht="18.75" x14ac:dyDescent="0.25">
      <c r="A118" s="14">
        <f t="shared" si="1"/>
        <v>113</v>
      </c>
      <c r="B118" s="16"/>
      <c r="C118" s="16" t="s">
        <v>190</v>
      </c>
      <c r="D118" s="16"/>
      <c r="E118" s="17" t="s">
        <v>95</v>
      </c>
      <c r="F118" s="18" t="s">
        <v>492</v>
      </c>
      <c r="G118" s="19">
        <v>41822</v>
      </c>
      <c r="H118" s="54"/>
    </row>
    <row r="119" spans="1:8" ht="37.5" x14ac:dyDescent="0.25">
      <c r="A119" s="14">
        <f t="shared" si="1"/>
        <v>114</v>
      </c>
      <c r="B119" s="16" t="s">
        <v>193</v>
      </c>
      <c r="C119" s="16" t="s">
        <v>554</v>
      </c>
      <c r="D119" s="59" t="s">
        <v>169</v>
      </c>
      <c r="E119" s="17" t="s">
        <v>185</v>
      </c>
      <c r="F119" s="18" t="s">
        <v>492</v>
      </c>
      <c r="G119" s="19">
        <v>41822</v>
      </c>
      <c r="H119" s="54"/>
    </row>
    <row r="120" spans="1:8" ht="18.75" x14ac:dyDescent="0.25">
      <c r="A120" s="14">
        <f t="shared" si="1"/>
        <v>115</v>
      </c>
      <c r="B120" s="16"/>
      <c r="C120" s="16"/>
      <c r="D120" s="59" t="s">
        <v>170</v>
      </c>
      <c r="E120" s="17" t="s">
        <v>185</v>
      </c>
      <c r="F120" s="18" t="s">
        <v>492</v>
      </c>
      <c r="G120" s="19">
        <v>41822</v>
      </c>
      <c r="H120" s="54"/>
    </row>
    <row r="121" spans="1:8" ht="18.75" x14ac:dyDescent="0.25">
      <c r="A121" s="14">
        <f t="shared" si="1"/>
        <v>116</v>
      </c>
      <c r="B121" s="16"/>
      <c r="C121" s="16"/>
      <c r="D121" s="59" t="s">
        <v>171</v>
      </c>
      <c r="E121" s="17" t="s">
        <v>185</v>
      </c>
      <c r="F121" s="18" t="s">
        <v>492</v>
      </c>
      <c r="G121" s="19">
        <v>41822</v>
      </c>
      <c r="H121" s="54"/>
    </row>
    <row r="122" spans="1:8" ht="18.75" x14ac:dyDescent="0.25">
      <c r="A122" s="14">
        <f t="shared" si="1"/>
        <v>117</v>
      </c>
      <c r="B122" s="16"/>
      <c r="C122" s="16"/>
      <c r="D122" s="59" t="s">
        <v>172</v>
      </c>
      <c r="E122" s="17" t="s">
        <v>185</v>
      </c>
      <c r="F122" s="18" t="s">
        <v>492</v>
      </c>
      <c r="G122" s="19">
        <v>41822</v>
      </c>
      <c r="H122" s="54"/>
    </row>
    <row r="123" spans="1:8" ht="18.75" x14ac:dyDescent="0.25">
      <c r="A123" s="14">
        <f t="shared" si="1"/>
        <v>118</v>
      </c>
      <c r="B123" s="16"/>
      <c r="C123" s="16"/>
      <c r="D123" s="59" t="s">
        <v>65</v>
      </c>
      <c r="E123" s="17" t="s">
        <v>185</v>
      </c>
      <c r="F123" s="18" t="s">
        <v>492</v>
      </c>
      <c r="G123" s="19">
        <v>41822</v>
      </c>
      <c r="H123" s="54"/>
    </row>
    <row r="124" spans="1:8" s="58" customFormat="1" ht="18.75" x14ac:dyDescent="0.25">
      <c r="A124" s="14">
        <f t="shared" si="1"/>
        <v>119</v>
      </c>
      <c r="B124" s="59"/>
      <c r="C124" s="59" t="s">
        <v>555</v>
      </c>
      <c r="D124" s="61" t="s">
        <v>169</v>
      </c>
      <c r="E124" s="17" t="s">
        <v>185</v>
      </c>
      <c r="F124" s="18" t="s">
        <v>492</v>
      </c>
      <c r="G124" s="19">
        <v>41823</v>
      </c>
      <c r="H124" s="54"/>
    </row>
    <row r="125" spans="1:8" s="58" customFormat="1" ht="18.75" x14ac:dyDescent="0.25">
      <c r="A125" s="14">
        <f t="shared" si="1"/>
        <v>120</v>
      </c>
      <c r="B125" s="59"/>
      <c r="C125" s="59"/>
      <c r="D125" s="61" t="s">
        <v>170</v>
      </c>
      <c r="E125" s="17" t="s">
        <v>185</v>
      </c>
      <c r="F125" s="18" t="s">
        <v>492</v>
      </c>
      <c r="G125" s="19">
        <v>41823</v>
      </c>
      <c r="H125" s="54"/>
    </row>
    <row r="126" spans="1:8" s="58" customFormat="1" ht="18.75" x14ac:dyDescent="0.25">
      <c r="A126" s="14">
        <f t="shared" si="1"/>
        <v>121</v>
      </c>
      <c r="B126" s="59"/>
      <c r="C126" s="59"/>
      <c r="D126" s="61" t="s">
        <v>171</v>
      </c>
      <c r="E126" s="17" t="s">
        <v>185</v>
      </c>
      <c r="F126" s="18" t="s">
        <v>492</v>
      </c>
      <c r="G126" s="19">
        <v>41823</v>
      </c>
      <c r="H126" s="54"/>
    </row>
    <row r="127" spans="1:8" s="58" customFormat="1" ht="18.75" x14ac:dyDescent="0.25">
      <c r="A127" s="14">
        <f t="shared" si="1"/>
        <v>122</v>
      </c>
      <c r="B127" s="59"/>
      <c r="C127" s="59"/>
      <c r="D127" s="61" t="s">
        <v>18</v>
      </c>
      <c r="E127" s="17" t="s">
        <v>185</v>
      </c>
      <c r="F127" s="18" t="s">
        <v>492</v>
      </c>
      <c r="G127" s="19">
        <v>41823</v>
      </c>
      <c r="H127" s="54"/>
    </row>
    <row r="128" spans="1:8" s="58" customFormat="1" ht="18.75" x14ac:dyDescent="0.25">
      <c r="A128" s="14">
        <f t="shared" si="1"/>
        <v>123</v>
      </c>
      <c r="B128" s="59"/>
      <c r="C128" s="59"/>
      <c r="D128" s="61" t="s">
        <v>172</v>
      </c>
      <c r="E128" s="17" t="s">
        <v>185</v>
      </c>
      <c r="F128" s="18" t="s">
        <v>492</v>
      </c>
      <c r="G128" s="19">
        <v>41823</v>
      </c>
      <c r="H128" s="54"/>
    </row>
    <row r="129" spans="1:8" s="58" customFormat="1" ht="18.75" x14ac:dyDescent="0.25">
      <c r="A129" s="14">
        <f t="shared" si="1"/>
        <v>124</v>
      </c>
      <c r="B129" s="59"/>
      <c r="C129" s="59"/>
      <c r="D129" s="61" t="s">
        <v>173</v>
      </c>
      <c r="E129" s="17" t="s">
        <v>185</v>
      </c>
      <c r="F129" s="18" t="s">
        <v>492</v>
      </c>
      <c r="G129" s="19">
        <v>41823</v>
      </c>
      <c r="H129" s="54"/>
    </row>
    <row r="130" spans="1:8" s="58" customFormat="1" ht="18.75" x14ac:dyDescent="0.25">
      <c r="A130" s="14">
        <f t="shared" si="1"/>
        <v>125</v>
      </c>
      <c r="B130" s="59"/>
      <c r="C130" s="59"/>
      <c r="D130" s="61" t="s">
        <v>174</v>
      </c>
      <c r="E130" s="17" t="s">
        <v>185</v>
      </c>
      <c r="F130" s="18" t="s">
        <v>492</v>
      </c>
      <c r="G130" s="19">
        <v>41823</v>
      </c>
      <c r="H130" s="54"/>
    </row>
    <row r="131" spans="1:8" s="58" customFormat="1" ht="18.75" x14ac:dyDescent="0.25">
      <c r="A131" s="14">
        <f t="shared" si="1"/>
        <v>126</v>
      </c>
      <c r="B131" s="59"/>
      <c r="C131" s="59"/>
      <c r="D131" s="61" t="s">
        <v>175</v>
      </c>
      <c r="E131" s="17" t="s">
        <v>185</v>
      </c>
      <c r="F131" s="18" t="s">
        <v>492</v>
      </c>
      <c r="G131" s="19">
        <v>41823</v>
      </c>
      <c r="H131" s="54"/>
    </row>
    <row r="132" spans="1:8" s="58" customFormat="1" ht="37.5" x14ac:dyDescent="0.25">
      <c r="A132" s="14">
        <f t="shared" si="1"/>
        <v>127</v>
      </c>
      <c r="B132" s="59"/>
      <c r="C132" s="59"/>
      <c r="D132" s="61" t="s">
        <v>176</v>
      </c>
      <c r="E132" s="17" t="s">
        <v>185</v>
      </c>
      <c r="F132" s="18" t="s">
        <v>492</v>
      </c>
      <c r="G132" s="19">
        <v>41823</v>
      </c>
      <c r="H132" s="54"/>
    </row>
    <row r="133" spans="1:8" s="58" customFormat="1" ht="18.75" x14ac:dyDescent="0.25">
      <c r="A133" s="14">
        <f t="shared" si="1"/>
        <v>128</v>
      </c>
      <c r="B133" s="59"/>
      <c r="C133" s="59"/>
      <c r="D133" s="61" t="s">
        <v>177</v>
      </c>
      <c r="E133" s="17" t="s">
        <v>185</v>
      </c>
      <c r="F133" s="18" t="s">
        <v>492</v>
      </c>
      <c r="G133" s="19">
        <v>41823</v>
      </c>
      <c r="H133" s="54"/>
    </row>
    <row r="134" spans="1:8" ht="18.75" x14ac:dyDescent="0.25">
      <c r="A134" s="14">
        <f t="shared" si="1"/>
        <v>129</v>
      </c>
      <c r="B134" s="16"/>
      <c r="C134" s="16"/>
      <c r="D134" s="61" t="s">
        <v>552</v>
      </c>
      <c r="E134" s="17" t="s">
        <v>185</v>
      </c>
      <c r="F134" s="18" t="s">
        <v>492</v>
      </c>
      <c r="G134" s="19">
        <v>41823</v>
      </c>
      <c r="H134" s="54"/>
    </row>
    <row r="135" spans="1:8" ht="18.75" x14ac:dyDescent="0.25">
      <c r="A135" s="14">
        <f t="shared" si="1"/>
        <v>130</v>
      </c>
      <c r="B135" s="16"/>
      <c r="C135" s="16"/>
      <c r="D135" s="61" t="s">
        <v>179</v>
      </c>
      <c r="E135" s="17" t="s">
        <v>185</v>
      </c>
      <c r="F135" s="18" t="s">
        <v>492</v>
      </c>
      <c r="G135" s="19">
        <v>41823</v>
      </c>
      <c r="H135" s="54"/>
    </row>
    <row r="136" spans="1:8" ht="18.75" x14ac:dyDescent="0.25">
      <c r="A136" s="14">
        <f t="shared" si="1"/>
        <v>131</v>
      </c>
      <c r="B136" s="16"/>
      <c r="C136" s="16"/>
      <c r="D136" s="61" t="s">
        <v>180</v>
      </c>
      <c r="E136" s="17" t="s">
        <v>185</v>
      </c>
      <c r="F136" s="18" t="s">
        <v>492</v>
      </c>
      <c r="G136" s="19">
        <v>41823</v>
      </c>
      <c r="H136" s="54"/>
    </row>
    <row r="137" spans="1:8" ht="18.75" x14ac:dyDescent="0.25">
      <c r="A137" s="14">
        <f t="shared" si="1"/>
        <v>132</v>
      </c>
      <c r="B137" s="16"/>
      <c r="C137" s="16"/>
      <c r="D137" s="61" t="s">
        <v>181</v>
      </c>
      <c r="E137" s="17" t="s">
        <v>185</v>
      </c>
      <c r="F137" s="18"/>
      <c r="G137" s="19"/>
      <c r="H137" s="54"/>
    </row>
    <row r="138" spans="1:8" ht="18.75" x14ac:dyDescent="0.25">
      <c r="A138" s="14">
        <f t="shared" si="1"/>
        <v>133</v>
      </c>
      <c r="B138" s="16"/>
      <c r="C138" s="16"/>
      <c r="D138" s="61" t="s">
        <v>182</v>
      </c>
      <c r="E138" s="17" t="s">
        <v>185</v>
      </c>
      <c r="F138" s="18"/>
      <c r="G138" s="19"/>
      <c r="H138" s="54"/>
    </row>
    <row r="139" spans="1:8" ht="18.75" x14ac:dyDescent="0.25">
      <c r="A139" s="14">
        <f t="shared" si="1"/>
        <v>134</v>
      </c>
      <c r="B139" s="16"/>
      <c r="C139" s="16"/>
      <c r="D139" s="61" t="s">
        <v>183</v>
      </c>
      <c r="E139" s="17" t="s">
        <v>185</v>
      </c>
      <c r="F139" s="18"/>
      <c r="G139" s="19"/>
      <c r="H139" s="54"/>
    </row>
    <row r="140" spans="1:8" ht="18.75" x14ac:dyDescent="0.25">
      <c r="A140" s="14">
        <f t="shared" si="1"/>
        <v>135</v>
      </c>
      <c r="B140" s="16"/>
      <c r="C140" s="16"/>
      <c r="D140" s="61" t="s">
        <v>184</v>
      </c>
      <c r="E140" s="17" t="s">
        <v>185</v>
      </c>
      <c r="F140" s="18"/>
      <c r="G140" s="19"/>
      <c r="H140" s="54"/>
    </row>
    <row r="141" spans="1:8" ht="37.5" x14ac:dyDescent="0.25">
      <c r="A141" s="14">
        <f t="shared" si="1"/>
        <v>136</v>
      </c>
      <c r="B141" s="16" t="s">
        <v>194</v>
      </c>
      <c r="C141" s="16" t="s">
        <v>186</v>
      </c>
      <c r="D141" s="16"/>
      <c r="E141" s="17" t="s">
        <v>185</v>
      </c>
      <c r="F141" s="18" t="s">
        <v>492</v>
      </c>
      <c r="G141" s="19">
        <v>41823</v>
      </c>
      <c r="H141" s="54"/>
    </row>
    <row r="142" spans="1:8" ht="18.75" x14ac:dyDescent="0.25">
      <c r="A142" s="14">
        <f t="shared" si="1"/>
        <v>137</v>
      </c>
      <c r="B142" s="16"/>
      <c r="C142" s="16" t="s">
        <v>187</v>
      </c>
      <c r="D142" s="16"/>
      <c r="E142" s="17" t="s">
        <v>185</v>
      </c>
      <c r="F142" s="18" t="s">
        <v>492</v>
      </c>
      <c r="G142" s="19">
        <v>41823</v>
      </c>
      <c r="H142" s="54"/>
    </row>
    <row r="143" spans="1:8" ht="18.75" x14ac:dyDescent="0.25">
      <c r="A143" s="14">
        <f t="shared" si="1"/>
        <v>138</v>
      </c>
      <c r="B143" s="16"/>
      <c r="C143" s="16" t="s">
        <v>188</v>
      </c>
      <c r="D143" s="16"/>
      <c r="E143" s="17" t="s">
        <v>185</v>
      </c>
      <c r="F143" s="18" t="s">
        <v>492</v>
      </c>
      <c r="G143" s="19">
        <v>41823</v>
      </c>
      <c r="H143" s="54"/>
    </row>
    <row r="144" spans="1:8" ht="37.5" x14ac:dyDescent="0.25">
      <c r="A144" s="14">
        <f t="shared" si="1"/>
        <v>139</v>
      </c>
      <c r="B144" s="16" t="s">
        <v>556</v>
      </c>
      <c r="C144" s="16" t="s">
        <v>203</v>
      </c>
      <c r="D144" s="16"/>
      <c r="E144" s="17" t="s">
        <v>101</v>
      </c>
      <c r="F144" s="18" t="s">
        <v>492</v>
      </c>
      <c r="G144" s="19">
        <v>41823</v>
      </c>
      <c r="H144" s="54"/>
    </row>
    <row r="145" spans="1:8" ht="18.75" x14ac:dyDescent="0.25">
      <c r="A145" s="14">
        <f t="shared" si="1"/>
        <v>140</v>
      </c>
      <c r="B145" s="16"/>
      <c r="C145" s="16" t="s">
        <v>199</v>
      </c>
      <c r="D145" s="16"/>
      <c r="E145" s="17" t="s">
        <v>92</v>
      </c>
      <c r="F145" s="18" t="s">
        <v>492</v>
      </c>
      <c r="G145" s="19">
        <v>41823</v>
      </c>
      <c r="H145" s="54"/>
    </row>
    <row r="146" spans="1:8" ht="18.75" x14ac:dyDescent="0.25">
      <c r="A146" s="14">
        <f t="shared" si="1"/>
        <v>141</v>
      </c>
      <c r="B146" s="16"/>
      <c r="C146" s="16" t="s">
        <v>272</v>
      </c>
      <c r="D146" s="16"/>
      <c r="E146" s="17" t="s">
        <v>92</v>
      </c>
      <c r="F146" s="18" t="s">
        <v>492</v>
      </c>
      <c r="G146" s="19">
        <v>41823</v>
      </c>
      <c r="H146" s="54"/>
    </row>
    <row r="147" spans="1:8" ht="18.75" x14ac:dyDescent="0.25">
      <c r="A147" s="14">
        <f t="shared" si="1"/>
        <v>142</v>
      </c>
      <c r="B147" s="16"/>
      <c r="C147" s="16" t="s">
        <v>200</v>
      </c>
      <c r="D147" s="16"/>
      <c r="E147" s="17" t="s">
        <v>92</v>
      </c>
      <c r="F147" s="18" t="s">
        <v>492</v>
      </c>
      <c r="G147" s="19">
        <v>41823</v>
      </c>
      <c r="H147" s="54"/>
    </row>
    <row r="148" spans="1:8" ht="18.75" x14ac:dyDescent="0.25">
      <c r="A148" s="14">
        <f t="shared" ref="A148:A211" si="2">+A147+1</f>
        <v>143</v>
      </c>
      <c r="B148" s="16"/>
      <c r="C148" s="16" t="s">
        <v>204</v>
      </c>
      <c r="D148" s="21"/>
      <c r="E148" s="17" t="s">
        <v>92</v>
      </c>
      <c r="F148" s="18" t="s">
        <v>492</v>
      </c>
      <c r="G148" s="19">
        <v>41823</v>
      </c>
      <c r="H148" s="54"/>
    </row>
    <row r="149" spans="1:8" ht="18.75" x14ac:dyDescent="0.25">
      <c r="A149" s="14">
        <f t="shared" si="2"/>
        <v>144</v>
      </c>
      <c r="B149" s="16"/>
      <c r="C149" s="16" t="s">
        <v>273</v>
      </c>
      <c r="D149" s="21"/>
      <c r="E149" s="17" t="s">
        <v>92</v>
      </c>
      <c r="F149" s="18" t="s">
        <v>492</v>
      </c>
      <c r="G149" s="19">
        <v>41823</v>
      </c>
      <c r="H149" s="54"/>
    </row>
    <row r="150" spans="1:8" ht="18.75" x14ac:dyDescent="0.25">
      <c r="A150" s="14">
        <f t="shared" si="2"/>
        <v>145</v>
      </c>
      <c r="B150" s="16"/>
      <c r="C150" s="16" t="s">
        <v>205</v>
      </c>
      <c r="D150" s="16"/>
      <c r="E150" s="17" t="s">
        <v>92</v>
      </c>
      <c r="F150" s="18" t="s">
        <v>492</v>
      </c>
      <c r="G150" s="19">
        <v>41823</v>
      </c>
      <c r="H150" s="54"/>
    </row>
    <row r="151" spans="1:8" ht="18.75" x14ac:dyDescent="0.25">
      <c r="A151" s="14">
        <f t="shared" si="2"/>
        <v>146</v>
      </c>
      <c r="B151" s="16"/>
      <c r="C151" s="16" t="s">
        <v>201</v>
      </c>
      <c r="D151" s="16"/>
      <c r="E151" s="17" t="s">
        <v>95</v>
      </c>
      <c r="F151" s="18" t="s">
        <v>492</v>
      </c>
      <c r="G151" s="19">
        <v>41823</v>
      </c>
      <c r="H151" s="54"/>
    </row>
    <row r="152" spans="1:8" ht="18.75" x14ac:dyDescent="0.25">
      <c r="A152" s="14">
        <f t="shared" si="2"/>
        <v>147</v>
      </c>
      <c r="B152" s="16"/>
      <c r="C152" s="16" t="s">
        <v>202</v>
      </c>
      <c r="D152" s="16"/>
      <c r="E152" s="17" t="s">
        <v>95</v>
      </c>
      <c r="F152" s="18" t="s">
        <v>492</v>
      </c>
      <c r="G152" s="19">
        <v>41823</v>
      </c>
      <c r="H152" s="54"/>
    </row>
    <row r="153" spans="1:8" ht="18.75" x14ac:dyDescent="0.25">
      <c r="A153" s="14">
        <f t="shared" si="2"/>
        <v>148</v>
      </c>
      <c r="B153" s="16" t="s">
        <v>207</v>
      </c>
      <c r="C153" s="16" t="s">
        <v>208</v>
      </c>
      <c r="D153" s="16"/>
      <c r="E153" s="17" t="s">
        <v>90</v>
      </c>
      <c r="F153" s="18" t="s">
        <v>492</v>
      </c>
      <c r="G153" s="19">
        <v>41823</v>
      </c>
      <c r="H153" s="54"/>
    </row>
    <row r="154" spans="1:8" ht="18.75" x14ac:dyDescent="0.25">
      <c r="A154" s="14">
        <f t="shared" si="2"/>
        <v>149</v>
      </c>
      <c r="B154" s="16"/>
      <c r="C154" s="16" t="s">
        <v>251</v>
      </c>
      <c r="D154" s="16"/>
      <c r="E154" s="17" t="s">
        <v>91</v>
      </c>
      <c r="F154" s="18" t="s">
        <v>492</v>
      </c>
      <c r="G154" s="19">
        <v>41823</v>
      </c>
      <c r="H154" s="54"/>
    </row>
    <row r="155" spans="1:8" ht="18.75" x14ac:dyDescent="0.25">
      <c r="A155" s="14">
        <f t="shared" si="2"/>
        <v>150</v>
      </c>
      <c r="B155" s="16"/>
      <c r="C155" s="16" t="s">
        <v>250</v>
      </c>
      <c r="D155" s="16"/>
      <c r="E155" s="17" t="s">
        <v>95</v>
      </c>
      <c r="F155" s="18" t="s">
        <v>492</v>
      </c>
      <c r="G155" s="19">
        <v>41823</v>
      </c>
      <c r="H155" s="54"/>
    </row>
    <row r="156" spans="1:8" ht="18.75" x14ac:dyDescent="0.25">
      <c r="A156" s="14">
        <f t="shared" si="2"/>
        <v>151</v>
      </c>
      <c r="B156" s="16"/>
      <c r="C156" s="16"/>
      <c r="D156" s="16" t="s">
        <v>339</v>
      </c>
      <c r="E156" s="17" t="s">
        <v>90</v>
      </c>
      <c r="F156" s="18" t="s">
        <v>492</v>
      </c>
      <c r="G156" s="19">
        <v>41823</v>
      </c>
      <c r="H156" s="54"/>
    </row>
    <row r="157" spans="1:8" ht="18.75" x14ac:dyDescent="0.25">
      <c r="A157" s="14">
        <f t="shared" si="2"/>
        <v>152</v>
      </c>
      <c r="B157" s="16"/>
      <c r="C157" s="16"/>
      <c r="D157" s="16" t="s">
        <v>340</v>
      </c>
      <c r="E157" s="17" t="s">
        <v>90</v>
      </c>
      <c r="F157" s="18" t="s">
        <v>492</v>
      </c>
      <c r="G157" s="19">
        <v>41823</v>
      </c>
      <c r="H157" s="54"/>
    </row>
    <row r="158" spans="1:8" ht="18.75" x14ac:dyDescent="0.25">
      <c r="A158" s="14">
        <f t="shared" si="2"/>
        <v>153</v>
      </c>
      <c r="B158" s="16"/>
      <c r="C158" s="16" t="s">
        <v>161</v>
      </c>
      <c r="D158" s="16"/>
      <c r="E158" s="17" t="s">
        <v>90</v>
      </c>
      <c r="F158" s="18" t="s">
        <v>492</v>
      </c>
      <c r="G158" s="19">
        <v>41823</v>
      </c>
      <c r="H158" s="54"/>
    </row>
    <row r="159" spans="1:8" ht="18.75" x14ac:dyDescent="0.25">
      <c r="A159" s="14">
        <f t="shared" si="2"/>
        <v>154</v>
      </c>
      <c r="B159" s="16" t="s">
        <v>210</v>
      </c>
      <c r="C159" s="16" t="s">
        <v>57</v>
      </c>
      <c r="D159" s="16"/>
      <c r="E159" s="17" t="s">
        <v>90</v>
      </c>
      <c r="F159" s="18" t="s">
        <v>492</v>
      </c>
      <c r="G159" s="19">
        <v>41824</v>
      </c>
      <c r="H159" s="54"/>
    </row>
    <row r="160" spans="1:8" ht="18.75" x14ac:dyDescent="0.25">
      <c r="A160" s="14">
        <f t="shared" si="2"/>
        <v>155</v>
      </c>
      <c r="B160" s="16"/>
      <c r="C160" s="16" t="s">
        <v>58</v>
      </c>
      <c r="D160" s="16"/>
      <c r="E160" s="17" t="s">
        <v>90</v>
      </c>
      <c r="F160" s="18" t="s">
        <v>492</v>
      </c>
      <c r="G160" s="19">
        <v>41824</v>
      </c>
      <c r="H160" s="54"/>
    </row>
    <row r="161" spans="1:8" ht="37.5" x14ac:dyDescent="0.25">
      <c r="A161" s="14">
        <f t="shared" si="2"/>
        <v>156</v>
      </c>
      <c r="B161" s="16" t="s">
        <v>209</v>
      </c>
      <c r="C161" s="16" t="s">
        <v>146</v>
      </c>
      <c r="D161" s="16"/>
      <c r="E161" s="17" t="s">
        <v>89</v>
      </c>
      <c r="F161" s="18" t="s">
        <v>492</v>
      </c>
      <c r="G161" s="19">
        <v>41824</v>
      </c>
      <c r="H161" s="54"/>
    </row>
    <row r="162" spans="1:8" ht="18.75" x14ac:dyDescent="0.25">
      <c r="A162" s="14">
        <f t="shared" si="2"/>
        <v>157</v>
      </c>
      <c r="B162" s="16"/>
      <c r="C162" s="16" t="s">
        <v>211</v>
      </c>
      <c r="D162" s="16"/>
      <c r="E162" s="17" t="s">
        <v>89</v>
      </c>
      <c r="F162" s="18" t="s">
        <v>492</v>
      </c>
      <c r="G162" s="19">
        <v>41824</v>
      </c>
      <c r="H162" s="54"/>
    </row>
    <row r="163" spans="1:8" ht="18.75" x14ac:dyDescent="0.25">
      <c r="A163" s="14">
        <f t="shared" si="2"/>
        <v>158</v>
      </c>
      <c r="B163" s="16"/>
      <c r="C163" s="16" t="s">
        <v>165</v>
      </c>
      <c r="D163" s="16"/>
      <c r="E163" s="17" t="s">
        <v>120</v>
      </c>
      <c r="F163" s="18" t="s">
        <v>492</v>
      </c>
      <c r="G163" s="19">
        <v>41824</v>
      </c>
      <c r="H163" s="54"/>
    </row>
    <row r="164" spans="1:8" ht="18.75" x14ac:dyDescent="0.25">
      <c r="A164" s="14">
        <f t="shared" si="2"/>
        <v>159</v>
      </c>
      <c r="B164" s="16"/>
      <c r="C164" s="16"/>
      <c r="D164" s="16" t="s">
        <v>169</v>
      </c>
      <c r="E164" s="17" t="s">
        <v>185</v>
      </c>
      <c r="F164" s="18" t="s">
        <v>492</v>
      </c>
      <c r="G164" s="19">
        <v>41824</v>
      </c>
      <c r="H164" s="54"/>
    </row>
    <row r="165" spans="1:8" ht="18.75" x14ac:dyDescent="0.25">
      <c r="A165" s="14">
        <f t="shared" si="2"/>
        <v>160</v>
      </c>
      <c r="B165" s="16"/>
      <c r="C165" s="16"/>
      <c r="D165" s="16" t="s">
        <v>170</v>
      </c>
      <c r="E165" s="17" t="s">
        <v>185</v>
      </c>
      <c r="F165" s="18" t="s">
        <v>492</v>
      </c>
      <c r="G165" s="19">
        <v>41824</v>
      </c>
      <c r="H165" s="54"/>
    </row>
    <row r="166" spans="1:8" ht="18.75" x14ac:dyDescent="0.25">
      <c r="A166" s="14">
        <f t="shared" si="2"/>
        <v>161</v>
      </c>
      <c r="B166" s="16"/>
      <c r="C166" s="16"/>
      <c r="D166" s="16" t="s">
        <v>171</v>
      </c>
      <c r="E166" s="17" t="s">
        <v>185</v>
      </c>
      <c r="F166" s="18" t="s">
        <v>492</v>
      </c>
      <c r="G166" s="19">
        <v>41824</v>
      </c>
      <c r="H166" s="54"/>
    </row>
    <row r="167" spans="1:8" ht="18.75" x14ac:dyDescent="0.25">
      <c r="A167" s="14">
        <f t="shared" si="2"/>
        <v>162</v>
      </c>
      <c r="B167" s="16"/>
      <c r="C167" s="16"/>
      <c r="D167" s="16" t="s">
        <v>18</v>
      </c>
      <c r="E167" s="17" t="s">
        <v>185</v>
      </c>
      <c r="F167" s="18" t="s">
        <v>492</v>
      </c>
      <c r="G167" s="19">
        <v>41824</v>
      </c>
      <c r="H167" s="54"/>
    </row>
    <row r="168" spans="1:8" ht="18.75" x14ac:dyDescent="0.25">
      <c r="A168" s="14">
        <f t="shared" si="2"/>
        <v>163</v>
      </c>
      <c r="B168" s="16"/>
      <c r="C168" s="16"/>
      <c r="D168" s="16" t="s">
        <v>172</v>
      </c>
      <c r="E168" s="17" t="s">
        <v>185</v>
      </c>
      <c r="F168" s="18" t="s">
        <v>492</v>
      </c>
      <c r="G168" s="19">
        <v>41824</v>
      </c>
      <c r="H168" s="54"/>
    </row>
    <row r="169" spans="1:8" ht="18.75" x14ac:dyDescent="0.25">
      <c r="A169" s="14">
        <f t="shared" si="2"/>
        <v>164</v>
      </c>
      <c r="B169" s="16"/>
      <c r="C169" s="16"/>
      <c r="D169" s="16" t="s">
        <v>173</v>
      </c>
      <c r="E169" s="17" t="s">
        <v>185</v>
      </c>
      <c r="F169" s="18" t="s">
        <v>493</v>
      </c>
      <c r="G169" s="19">
        <v>41824</v>
      </c>
      <c r="H169" s="54"/>
    </row>
    <row r="170" spans="1:8" ht="18.75" x14ac:dyDescent="0.25">
      <c r="A170" s="14">
        <f t="shared" si="2"/>
        <v>165</v>
      </c>
      <c r="B170" s="16"/>
      <c r="C170" s="16"/>
      <c r="D170" s="16" t="s">
        <v>174</v>
      </c>
      <c r="E170" s="17" t="s">
        <v>185</v>
      </c>
      <c r="F170" s="18" t="s">
        <v>493</v>
      </c>
      <c r="G170" s="19">
        <v>41824</v>
      </c>
      <c r="H170" s="54"/>
    </row>
    <row r="171" spans="1:8" ht="18.75" x14ac:dyDescent="0.25">
      <c r="A171" s="14">
        <f t="shared" si="2"/>
        <v>166</v>
      </c>
      <c r="B171" s="16"/>
      <c r="C171" s="16"/>
      <c r="D171" s="16" t="s">
        <v>175</v>
      </c>
      <c r="E171" s="17" t="s">
        <v>185</v>
      </c>
      <c r="F171" s="18" t="s">
        <v>493</v>
      </c>
      <c r="G171" s="19">
        <v>41824</v>
      </c>
      <c r="H171" s="54"/>
    </row>
    <row r="172" spans="1:8" ht="37.5" x14ac:dyDescent="0.25">
      <c r="A172" s="14">
        <f t="shared" si="2"/>
        <v>167</v>
      </c>
      <c r="B172" s="16"/>
      <c r="C172" s="16"/>
      <c r="D172" s="16" t="s">
        <v>176</v>
      </c>
      <c r="E172" s="17" t="s">
        <v>185</v>
      </c>
      <c r="F172" s="18" t="s">
        <v>493</v>
      </c>
      <c r="G172" s="19">
        <v>41824</v>
      </c>
      <c r="H172" s="54"/>
    </row>
    <row r="173" spans="1:8" ht="18.75" x14ac:dyDescent="0.25">
      <c r="A173" s="14">
        <f t="shared" si="2"/>
        <v>168</v>
      </c>
      <c r="B173" s="16"/>
      <c r="C173" s="16"/>
      <c r="D173" s="16" t="s">
        <v>177</v>
      </c>
      <c r="E173" s="17" t="s">
        <v>185</v>
      </c>
      <c r="F173" s="18" t="s">
        <v>493</v>
      </c>
      <c r="G173" s="19">
        <v>41824</v>
      </c>
      <c r="H173" s="54"/>
    </row>
    <row r="174" spans="1:8" ht="18.75" x14ac:dyDescent="0.25">
      <c r="A174" s="14">
        <f t="shared" si="2"/>
        <v>169</v>
      </c>
      <c r="B174" s="16"/>
      <c r="C174" s="16"/>
      <c r="D174" s="16" t="s">
        <v>552</v>
      </c>
      <c r="E174" s="17" t="s">
        <v>185</v>
      </c>
      <c r="F174" s="18" t="s">
        <v>493</v>
      </c>
      <c r="G174" s="19">
        <v>41824</v>
      </c>
      <c r="H174" s="54"/>
    </row>
    <row r="175" spans="1:8" ht="18.75" x14ac:dyDescent="0.25">
      <c r="A175" s="14">
        <f t="shared" si="2"/>
        <v>170</v>
      </c>
      <c r="B175" s="16"/>
      <c r="C175" s="16" t="s">
        <v>518</v>
      </c>
      <c r="D175" s="16"/>
      <c r="E175" s="17" t="s">
        <v>89</v>
      </c>
      <c r="F175" s="18" t="s">
        <v>492</v>
      </c>
      <c r="G175" s="19">
        <v>41824</v>
      </c>
      <c r="H175" s="54"/>
    </row>
    <row r="176" spans="1:8" ht="18.75" x14ac:dyDescent="0.25">
      <c r="A176" s="14">
        <f t="shared" si="2"/>
        <v>171</v>
      </c>
      <c r="B176" s="16"/>
      <c r="C176" s="16" t="s">
        <v>212</v>
      </c>
      <c r="D176" s="16"/>
      <c r="E176" s="17" t="s">
        <v>213</v>
      </c>
      <c r="F176" s="18" t="s">
        <v>492</v>
      </c>
      <c r="G176" s="19">
        <v>41824</v>
      </c>
      <c r="H176" s="54"/>
    </row>
    <row r="177" spans="1:8" ht="18.75" x14ac:dyDescent="0.25">
      <c r="A177" s="14">
        <f t="shared" si="2"/>
        <v>172</v>
      </c>
      <c r="B177" s="16"/>
      <c r="C177" s="16" t="s">
        <v>590</v>
      </c>
      <c r="D177" s="16"/>
      <c r="E177" s="17" t="s">
        <v>120</v>
      </c>
      <c r="F177" s="18" t="s">
        <v>492</v>
      </c>
      <c r="G177" s="19">
        <v>41824</v>
      </c>
      <c r="H177" s="54"/>
    </row>
    <row r="178" spans="1:8" s="60" customFormat="1" ht="18.75" x14ac:dyDescent="0.25">
      <c r="A178" s="14">
        <f t="shared" si="2"/>
        <v>173</v>
      </c>
      <c r="B178" s="61"/>
      <c r="C178" s="61" t="s">
        <v>591</v>
      </c>
      <c r="D178" s="61"/>
      <c r="E178" s="17" t="s">
        <v>120</v>
      </c>
      <c r="F178" s="18" t="s">
        <v>492</v>
      </c>
      <c r="G178" s="19">
        <v>41824</v>
      </c>
      <c r="H178" s="54"/>
    </row>
    <row r="179" spans="1:8" s="60" customFormat="1" ht="18.75" x14ac:dyDescent="0.25">
      <c r="A179" s="14">
        <f t="shared" si="2"/>
        <v>174</v>
      </c>
      <c r="B179" s="61"/>
      <c r="C179" s="61" t="s">
        <v>519</v>
      </c>
      <c r="D179" s="61"/>
      <c r="E179" s="17" t="s">
        <v>101</v>
      </c>
      <c r="F179" s="18" t="s">
        <v>492</v>
      </c>
      <c r="G179" s="19">
        <v>41824</v>
      </c>
      <c r="H179" s="54"/>
    </row>
    <row r="180" spans="1:8" s="60" customFormat="1" ht="18.75" x14ac:dyDescent="0.25">
      <c r="A180" s="14">
        <f t="shared" si="2"/>
        <v>175</v>
      </c>
      <c r="B180" s="61"/>
      <c r="C180" s="61" t="s">
        <v>592</v>
      </c>
      <c r="D180" s="61"/>
      <c r="E180" s="17" t="s">
        <v>91</v>
      </c>
      <c r="F180" s="18" t="s">
        <v>492</v>
      </c>
      <c r="G180" s="19">
        <v>41824</v>
      </c>
      <c r="H180" s="54"/>
    </row>
    <row r="181" spans="1:8" ht="18.75" x14ac:dyDescent="0.25">
      <c r="A181" s="14">
        <f t="shared" si="2"/>
        <v>176</v>
      </c>
      <c r="B181" s="16"/>
      <c r="C181" s="16" t="s">
        <v>214</v>
      </c>
      <c r="D181" s="16"/>
      <c r="E181" s="17" t="s">
        <v>95</v>
      </c>
      <c r="F181" s="18" t="s">
        <v>492</v>
      </c>
      <c r="G181" s="19">
        <v>41824</v>
      </c>
      <c r="H181" s="54"/>
    </row>
    <row r="182" spans="1:8" ht="18.75" x14ac:dyDescent="0.25">
      <c r="A182" s="14">
        <f t="shared" si="2"/>
        <v>177</v>
      </c>
      <c r="B182" s="16"/>
      <c r="C182" s="16" t="s">
        <v>215</v>
      </c>
      <c r="D182" s="16"/>
      <c r="E182" s="17" t="s">
        <v>95</v>
      </c>
      <c r="F182" s="18" t="s">
        <v>492</v>
      </c>
      <c r="G182" s="19">
        <v>41824</v>
      </c>
      <c r="H182" s="54"/>
    </row>
    <row r="183" spans="1:8" ht="37.5" x14ac:dyDescent="0.25">
      <c r="A183" s="14">
        <f t="shared" si="2"/>
        <v>178</v>
      </c>
      <c r="B183" s="16" t="s">
        <v>216</v>
      </c>
      <c r="C183" s="16" t="s">
        <v>146</v>
      </c>
      <c r="D183" s="16"/>
      <c r="E183" s="17" t="s">
        <v>89</v>
      </c>
      <c r="F183" s="18" t="s">
        <v>492</v>
      </c>
      <c r="G183" s="19">
        <v>41824</v>
      </c>
      <c r="H183" s="54"/>
    </row>
    <row r="184" spans="1:8" ht="18.75" x14ac:dyDescent="0.25">
      <c r="A184" s="14">
        <f t="shared" si="2"/>
        <v>179</v>
      </c>
      <c r="B184" s="16"/>
      <c r="C184" s="16" t="s">
        <v>217</v>
      </c>
      <c r="D184" s="16"/>
      <c r="E184" s="17" t="s">
        <v>89</v>
      </c>
      <c r="F184" s="18" t="s">
        <v>492</v>
      </c>
      <c r="G184" s="19">
        <v>41824</v>
      </c>
      <c r="H184" s="54"/>
    </row>
    <row r="185" spans="1:8" ht="18.75" x14ac:dyDescent="0.25">
      <c r="A185" s="14">
        <f t="shared" si="2"/>
        <v>180</v>
      </c>
      <c r="B185" s="16"/>
      <c r="C185" s="16" t="s">
        <v>212</v>
      </c>
      <c r="D185" s="16"/>
      <c r="E185" s="17" t="s">
        <v>213</v>
      </c>
      <c r="F185" s="18" t="s">
        <v>492</v>
      </c>
      <c r="G185" s="19">
        <v>41824</v>
      </c>
      <c r="H185" s="54"/>
    </row>
    <row r="186" spans="1:8" s="60" customFormat="1" ht="18.75" x14ac:dyDescent="0.25">
      <c r="A186" s="14">
        <f t="shared" si="2"/>
        <v>181</v>
      </c>
      <c r="B186" s="61"/>
      <c r="C186" s="61" t="s">
        <v>590</v>
      </c>
      <c r="D186" s="61"/>
      <c r="E186" s="17" t="s">
        <v>120</v>
      </c>
      <c r="F186" s="18" t="s">
        <v>492</v>
      </c>
      <c r="G186" s="19">
        <v>41824</v>
      </c>
      <c r="H186" s="54"/>
    </row>
    <row r="187" spans="1:8" s="60" customFormat="1" ht="18.75" x14ac:dyDescent="0.25">
      <c r="A187" s="14">
        <f t="shared" si="2"/>
        <v>182</v>
      </c>
      <c r="B187" s="61"/>
      <c r="C187" s="61" t="s">
        <v>591</v>
      </c>
      <c r="D187" s="61"/>
      <c r="E187" s="17" t="s">
        <v>120</v>
      </c>
      <c r="F187" s="18" t="s">
        <v>492</v>
      </c>
      <c r="G187" s="19">
        <v>41824</v>
      </c>
      <c r="H187" s="54"/>
    </row>
    <row r="188" spans="1:8" ht="18.75" x14ac:dyDescent="0.25">
      <c r="A188" s="14">
        <f t="shared" si="2"/>
        <v>183</v>
      </c>
      <c r="B188" s="16"/>
      <c r="C188" s="16" t="s">
        <v>519</v>
      </c>
      <c r="D188" s="16"/>
      <c r="E188" s="17" t="s">
        <v>101</v>
      </c>
      <c r="F188" s="18" t="s">
        <v>492</v>
      </c>
      <c r="G188" s="19">
        <v>41824</v>
      </c>
      <c r="H188" s="54"/>
    </row>
    <row r="189" spans="1:8" s="60" customFormat="1" ht="18.75" x14ac:dyDescent="0.25">
      <c r="A189" s="14">
        <f t="shared" si="2"/>
        <v>184</v>
      </c>
      <c r="B189" s="61"/>
      <c r="C189" s="61" t="s">
        <v>592</v>
      </c>
      <c r="D189" s="61"/>
      <c r="E189" s="17" t="s">
        <v>91</v>
      </c>
      <c r="F189" s="18" t="s">
        <v>492</v>
      </c>
      <c r="G189" s="19">
        <v>41824</v>
      </c>
      <c r="H189" s="54"/>
    </row>
    <row r="190" spans="1:8" ht="18.75" x14ac:dyDescent="0.25">
      <c r="A190" s="14">
        <f t="shared" si="2"/>
        <v>185</v>
      </c>
      <c r="B190" s="16"/>
      <c r="C190" s="16" t="s">
        <v>214</v>
      </c>
      <c r="D190" s="16"/>
      <c r="E190" s="17" t="s">
        <v>95</v>
      </c>
      <c r="F190" s="18" t="s">
        <v>492</v>
      </c>
      <c r="G190" s="19">
        <v>41824</v>
      </c>
      <c r="H190" s="54"/>
    </row>
    <row r="191" spans="1:8" ht="18.75" x14ac:dyDescent="0.25">
      <c r="A191" s="14">
        <f t="shared" si="2"/>
        <v>186</v>
      </c>
      <c r="B191" s="16"/>
      <c r="C191" s="16" t="s">
        <v>215</v>
      </c>
      <c r="D191" s="16"/>
      <c r="E191" s="17" t="s">
        <v>95</v>
      </c>
      <c r="F191" s="18" t="s">
        <v>492</v>
      </c>
      <c r="G191" s="19">
        <v>41824</v>
      </c>
      <c r="H191" s="54"/>
    </row>
    <row r="192" spans="1:8" ht="18.75" x14ac:dyDescent="0.25">
      <c r="A192" s="14">
        <f t="shared" si="2"/>
        <v>187</v>
      </c>
      <c r="B192" s="16" t="s">
        <v>218</v>
      </c>
      <c r="C192" s="16" t="s">
        <v>219</v>
      </c>
      <c r="D192" s="16"/>
      <c r="E192" s="17" t="s">
        <v>90</v>
      </c>
      <c r="F192" s="18" t="s">
        <v>492</v>
      </c>
      <c r="G192" s="19">
        <v>41824</v>
      </c>
      <c r="H192" s="54"/>
    </row>
    <row r="193" spans="1:8" ht="18.75" x14ac:dyDescent="0.25">
      <c r="A193" s="14">
        <f t="shared" si="2"/>
        <v>188</v>
      </c>
      <c r="B193" s="16"/>
      <c r="C193" s="16" t="s">
        <v>161</v>
      </c>
      <c r="D193" s="16"/>
      <c r="E193" s="17" t="s">
        <v>90</v>
      </c>
      <c r="F193" s="18" t="s">
        <v>492</v>
      </c>
      <c r="G193" s="19">
        <v>41824</v>
      </c>
      <c r="H193" s="54"/>
    </row>
    <row r="194" spans="1:8" ht="18.75" x14ac:dyDescent="0.25">
      <c r="A194" s="14">
        <f t="shared" si="2"/>
        <v>189</v>
      </c>
      <c r="B194" s="16" t="s">
        <v>220</v>
      </c>
      <c r="C194" s="16" t="s">
        <v>159</v>
      </c>
      <c r="D194" s="16"/>
      <c r="E194" s="17" t="s">
        <v>120</v>
      </c>
      <c r="F194" s="18" t="s">
        <v>492</v>
      </c>
      <c r="G194" s="19">
        <v>41824</v>
      </c>
      <c r="H194" s="54"/>
    </row>
    <row r="195" spans="1:8" ht="18.75" x14ac:dyDescent="0.25">
      <c r="A195" s="14">
        <f t="shared" si="2"/>
        <v>190</v>
      </c>
      <c r="B195" s="16"/>
      <c r="C195" s="16" t="s">
        <v>487</v>
      </c>
      <c r="D195" s="16"/>
      <c r="E195" s="17" t="s">
        <v>120</v>
      </c>
      <c r="F195" s="18"/>
      <c r="G195" s="19"/>
      <c r="H195" s="54"/>
    </row>
    <row r="196" spans="1:8" ht="18.75" x14ac:dyDescent="0.25">
      <c r="A196" s="14">
        <f t="shared" si="2"/>
        <v>191</v>
      </c>
      <c r="B196" s="16"/>
      <c r="C196" s="16"/>
      <c r="D196" s="16" t="s">
        <v>221</v>
      </c>
      <c r="E196" s="17" t="s">
        <v>185</v>
      </c>
      <c r="F196" s="18"/>
      <c r="G196" s="19"/>
      <c r="H196" s="54"/>
    </row>
    <row r="197" spans="1:8" ht="18.75" x14ac:dyDescent="0.25">
      <c r="A197" s="14">
        <f t="shared" si="2"/>
        <v>192</v>
      </c>
      <c r="B197" s="16"/>
      <c r="C197" s="16"/>
      <c r="D197" s="16" t="s">
        <v>222</v>
      </c>
      <c r="E197" s="17" t="s">
        <v>185</v>
      </c>
      <c r="F197" s="18"/>
      <c r="G197" s="19"/>
      <c r="H197" s="54"/>
    </row>
    <row r="198" spans="1:8" ht="18.75" x14ac:dyDescent="0.25">
      <c r="A198" s="14">
        <f t="shared" si="2"/>
        <v>193</v>
      </c>
      <c r="B198" s="16"/>
      <c r="C198" s="16"/>
      <c r="D198" s="16" t="s">
        <v>223</v>
      </c>
      <c r="E198" s="17" t="s">
        <v>185</v>
      </c>
      <c r="F198" s="18"/>
      <c r="G198" s="19"/>
      <c r="H198" s="54"/>
    </row>
    <row r="199" spans="1:8" ht="37.5" x14ac:dyDescent="0.25">
      <c r="A199" s="14">
        <f t="shared" si="2"/>
        <v>194</v>
      </c>
      <c r="B199" s="16"/>
      <c r="C199" s="16" t="s">
        <v>224</v>
      </c>
      <c r="D199" s="16"/>
      <c r="E199" s="17" t="s">
        <v>91</v>
      </c>
      <c r="F199" s="18"/>
      <c r="G199" s="19"/>
      <c r="H199" s="54"/>
    </row>
    <row r="200" spans="1:8" ht="18.75" x14ac:dyDescent="0.25">
      <c r="A200" s="14">
        <f t="shared" si="2"/>
        <v>195</v>
      </c>
      <c r="B200" s="16"/>
      <c r="C200" s="16" t="s">
        <v>488</v>
      </c>
      <c r="D200" s="16"/>
      <c r="E200" s="17" t="s">
        <v>120</v>
      </c>
      <c r="F200" s="18"/>
      <c r="G200" s="19"/>
      <c r="H200" s="54"/>
    </row>
    <row r="201" spans="1:8" ht="18.75" x14ac:dyDescent="0.25">
      <c r="A201" s="14">
        <f t="shared" si="2"/>
        <v>196</v>
      </c>
      <c r="B201" s="16"/>
      <c r="C201" s="16"/>
      <c r="D201" s="16" t="s">
        <v>236</v>
      </c>
      <c r="E201" s="17" t="s">
        <v>185</v>
      </c>
      <c r="F201" s="18"/>
      <c r="G201" s="19"/>
      <c r="H201" s="54"/>
    </row>
    <row r="202" spans="1:8" ht="18.75" x14ac:dyDescent="0.25">
      <c r="A202" s="14">
        <f t="shared" si="2"/>
        <v>197</v>
      </c>
      <c r="B202" s="16"/>
      <c r="C202" s="16"/>
      <c r="D202" s="16" t="s">
        <v>237</v>
      </c>
      <c r="E202" s="17" t="s">
        <v>185</v>
      </c>
      <c r="F202" s="18"/>
      <c r="G202" s="19"/>
      <c r="H202" s="54"/>
    </row>
    <row r="203" spans="1:8" ht="18.75" x14ac:dyDescent="0.25">
      <c r="A203" s="14">
        <f t="shared" si="2"/>
        <v>198</v>
      </c>
      <c r="B203" s="16"/>
      <c r="C203" s="16"/>
      <c r="D203" s="16" t="s">
        <v>238</v>
      </c>
      <c r="E203" s="17" t="s">
        <v>185</v>
      </c>
      <c r="F203" s="18"/>
      <c r="G203" s="19"/>
      <c r="H203" s="54"/>
    </row>
    <row r="204" spans="1:8" ht="18.75" x14ac:dyDescent="0.25">
      <c r="A204" s="14">
        <f t="shared" si="2"/>
        <v>199</v>
      </c>
      <c r="B204" s="16"/>
      <c r="C204" s="16"/>
      <c r="D204" s="16" t="s">
        <v>239</v>
      </c>
      <c r="E204" s="17" t="s">
        <v>185</v>
      </c>
      <c r="F204" s="18"/>
      <c r="G204" s="19"/>
      <c r="H204" s="54"/>
    </row>
    <row r="205" spans="1:8" ht="18.75" x14ac:dyDescent="0.25">
      <c r="A205" s="14">
        <f t="shared" si="2"/>
        <v>200</v>
      </c>
      <c r="B205" s="16"/>
      <c r="C205" s="16"/>
      <c r="D205" s="16" t="s">
        <v>240</v>
      </c>
      <c r="E205" s="17" t="s">
        <v>185</v>
      </c>
      <c r="F205" s="18"/>
      <c r="G205" s="19"/>
      <c r="H205" s="54"/>
    </row>
    <row r="206" spans="1:8" ht="18.75" x14ac:dyDescent="0.25">
      <c r="A206" s="14">
        <f t="shared" si="2"/>
        <v>201</v>
      </c>
      <c r="B206" s="16"/>
      <c r="C206" s="16" t="s">
        <v>242</v>
      </c>
      <c r="D206" s="16"/>
      <c r="E206" s="17" t="s">
        <v>95</v>
      </c>
      <c r="F206" s="18"/>
      <c r="G206" s="19"/>
      <c r="H206" s="54"/>
    </row>
    <row r="207" spans="1:8" ht="18.75" x14ac:dyDescent="0.25">
      <c r="A207" s="14">
        <f t="shared" si="2"/>
        <v>202</v>
      </c>
      <c r="B207" s="16"/>
      <c r="C207" s="16"/>
      <c r="D207" s="16" t="s">
        <v>339</v>
      </c>
      <c r="E207" s="17" t="s">
        <v>90</v>
      </c>
      <c r="F207" s="18"/>
      <c r="G207" s="19"/>
      <c r="H207" s="54"/>
    </row>
    <row r="208" spans="1:8" ht="18.75" x14ac:dyDescent="0.25">
      <c r="A208" s="14">
        <f t="shared" si="2"/>
        <v>203</v>
      </c>
      <c r="B208" s="16"/>
      <c r="C208" s="16"/>
      <c r="D208" s="16" t="s">
        <v>340</v>
      </c>
      <c r="E208" s="17" t="s">
        <v>90</v>
      </c>
      <c r="F208" s="18"/>
      <c r="G208" s="19"/>
      <c r="H208" s="54"/>
    </row>
    <row r="209" spans="1:8" ht="37.5" x14ac:dyDescent="0.25">
      <c r="A209" s="14">
        <f t="shared" si="2"/>
        <v>204</v>
      </c>
      <c r="B209" s="16" t="s">
        <v>225</v>
      </c>
      <c r="C209" s="16" t="s">
        <v>489</v>
      </c>
      <c r="D209" s="16"/>
      <c r="E209" s="17" t="s">
        <v>120</v>
      </c>
      <c r="F209" s="18"/>
      <c r="G209" s="19"/>
      <c r="H209" s="54"/>
    </row>
    <row r="210" spans="1:8" ht="18.75" x14ac:dyDescent="0.25">
      <c r="A210" s="14">
        <f t="shared" si="2"/>
        <v>205</v>
      </c>
      <c r="B210" s="16"/>
      <c r="C210" s="16"/>
      <c r="D210" s="16" t="s">
        <v>226</v>
      </c>
      <c r="E210" s="17" t="s">
        <v>185</v>
      </c>
      <c r="F210" s="18"/>
      <c r="G210" s="19"/>
      <c r="H210" s="54"/>
    </row>
    <row r="211" spans="1:8" ht="18.75" x14ac:dyDescent="0.25">
      <c r="A211" s="14">
        <f t="shared" si="2"/>
        <v>206</v>
      </c>
      <c r="B211" s="16"/>
      <c r="C211" s="16"/>
      <c r="D211" s="16" t="s">
        <v>227</v>
      </c>
      <c r="E211" s="17" t="s">
        <v>185</v>
      </c>
      <c r="F211" s="18"/>
      <c r="G211" s="19"/>
      <c r="H211" s="54"/>
    </row>
    <row r="212" spans="1:8" ht="18.75" x14ac:dyDescent="0.25">
      <c r="A212" s="14">
        <f t="shared" ref="A212:A251" si="3">+A211+1</f>
        <v>207</v>
      </c>
      <c r="B212" s="16"/>
      <c r="C212" s="16" t="s">
        <v>228</v>
      </c>
      <c r="D212" s="16"/>
      <c r="E212" s="17" t="s">
        <v>120</v>
      </c>
      <c r="F212" s="18"/>
      <c r="G212" s="19"/>
      <c r="H212" s="54"/>
    </row>
    <row r="213" spans="1:8" ht="18.75" x14ac:dyDescent="0.25">
      <c r="A213" s="14">
        <f t="shared" si="3"/>
        <v>208</v>
      </c>
      <c r="B213" s="16"/>
      <c r="C213" s="16" t="s">
        <v>490</v>
      </c>
      <c r="D213" s="16"/>
      <c r="E213" s="17" t="s">
        <v>120</v>
      </c>
      <c r="F213" s="18"/>
      <c r="G213" s="19"/>
      <c r="H213" s="54"/>
    </row>
    <row r="214" spans="1:8" ht="18.75" x14ac:dyDescent="0.25">
      <c r="A214" s="14">
        <f t="shared" si="3"/>
        <v>209</v>
      </c>
      <c r="B214" s="16"/>
      <c r="C214" s="16"/>
      <c r="D214" s="16" t="s">
        <v>229</v>
      </c>
      <c r="E214" s="17" t="s">
        <v>185</v>
      </c>
      <c r="F214" s="18"/>
      <c r="G214" s="19"/>
      <c r="H214" s="54"/>
    </row>
    <row r="215" spans="1:8" ht="18.75" x14ac:dyDescent="0.25">
      <c r="A215" s="14">
        <f t="shared" si="3"/>
        <v>210</v>
      </c>
      <c r="B215" s="16"/>
      <c r="C215" s="16"/>
      <c r="D215" s="16" t="s">
        <v>230</v>
      </c>
      <c r="E215" s="17" t="s">
        <v>185</v>
      </c>
      <c r="F215" s="18"/>
      <c r="G215" s="19"/>
      <c r="H215" s="54"/>
    </row>
    <row r="216" spans="1:8" ht="18.75" x14ac:dyDescent="0.25">
      <c r="A216" s="14">
        <f t="shared" si="3"/>
        <v>211</v>
      </c>
      <c r="B216" s="16"/>
      <c r="C216" s="16"/>
      <c r="D216" s="16" t="s">
        <v>231</v>
      </c>
      <c r="E216" s="17" t="s">
        <v>185</v>
      </c>
      <c r="F216" s="18"/>
      <c r="G216" s="19"/>
      <c r="H216" s="54"/>
    </row>
    <row r="217" spans="1:8" ht="18.75" x14ac:dyDescent="0.25">
      <c r="A217" s="14">
        <f t="shared" si="3"/>
        <v>212</v>
      </c>
      <c r="B217" s="16"/>
      <c r="C217" s="16"/>
      <c r="D217" s="16" t="s">
        <v>232</v>
      </c>
      <c r="E217" s="17" t="s">
        <v>185</v>
      </c>
      <c r="F217" s="18"/>
      <c r="G217" s="19"/>
      <c r="H217" s="54"/>
    </row>
    <row r="218" spans="1:8" ht="18.75" x14ac:dyDescent="0.25">
      <c r="A218" s="14">
        <f t="shared" si="3"/>
        <v>213</v>
      </c>
      <c r="B218" s="16"/>
      <c r="C218" s="16"/>
      <c r="D218" s="16" t="s">
        <v>233</v>
      </c>
      <c r="E218" s="17" t="s">
        <v>185</v>
      </c>
      <c r="F218" s="18"/>
      <c r="G218" s="19"/>
      <c r="H218" s="54"/>
    </row>
    <row r="219" spans="1:8" ht="18.75" x14ac:dyDescent="0.25">
      <c r="A219" s="14">
        <f t="shared" si="3"/>
        <v>214</v>
      </c>
      <c r="B219" s="16"/>
      <c r="C219" s="16"/>
      <c r="D219" s="16" t="s">
        <v>234</v>
      </c>
      <c r="E219" s="17" t="s">
        <v>185</v>
      </c>
      <c r="F219" s="18"/>
      <c r="G219" s="19"/>
      <c r="H219" s="54"/>
    </row>
    <row r="220" spans="1:8" ht="18.75" x14ac:dyDescent="0.25">
      <c r="A220" s="14">
        <f t="shared" si="3"/>
        <v>215</v>
      </c>
      <c r="B220" s="16"/>
      <c r="C220" s="16" t="s">
        <v>235</v>
      </c>
      <c r="D220" s="16"/>
      <c r="E220" s="17" t="s">
        <v>89</v>
      </c>
      <c r="F220" s="18"/>
      <c r="G220" s="19"/>
      <c r="H220" s="54"/>
    </row>
    <row r="221" spans="1:8" ht="18.75" x14ac:dyDescent="0.25">
      <c r="A221" s="14">
        <f t="shared" si="3"/>
        <v>216</v>
      </c>
      <c r="B221" s="16" t="s">
        <v>243</v>
      </c>
      <c r="C221" s="16" t="s">
        <v>244</v>
      </c>
      <c r="D221" s="16"/>
      <c r="E221" s="17" t="s">
        <v>95</v>
      </c>
      <c r="F221" s="18"/>
      <c r="G221" s="19"/>
      <c r="H221" s="54"/>
    </row>
    <row r="222" spans="1:8" ht="18.75" x14ac:dyDescent="0.25">
      <c r="A222" s="14">
        <f t="shared" si="3"/>
        <v>217</v>
      </c>
      <c r="B222" s="16"/>
      <c r="C222" s="16" t="s">
        <v>274</v>
      </c>
      <c r="D222" s="16"/>
      <c r="E222" s="17" t="s">
        <v>101</v>
      </c>
      <c r="F222" s="18"/>
      <c r="G222" s="19"/>
      <c r="H222" s="54"/>
    </row>
    <row r="223" spans="1:8" ht="18.75" x14ac:dyDescent="0.25">
      <c r="A223" s="14">
        <f t="shared" si="3"/>
        <v>218</v>
      </c>
      <c r="B223" s="16"/>
      <c r="C223" s="16" t="s">
        <v>48</v>
      </c>
      <c r="D223" s="16"/>
      <c r="E223" s="17" t="s">
        <v>90</v>
      </c>
      <c r="F223" s="18"/>
      <c r="G223" s="19"/>
      <c r="H223" s="54"/>
    </row>
    <row r="224" spans="1:8" ht="18.75" x14ac:dyDescent="0.25">
      <c r="A224" s="14">
        <f t="shared" si="3"/>
        <v>219</v>
      </c>
      <c r="B224" s="16"/>
      <c r="C224" s="16" t="s">
        <v>49</v>
      </c>
      <c r="D224" s="16"/>
      <c r="E224" s="17" t="s">
        <v>90</v>
      </c>
      <c r="F224" s="18"/>
      <c r="G224" s="19"/>
      <c r="H224" s="54"/>
    </row>
    <row r="225" spans="1:8" ht="18.75" x14ac:dyDescent="0.25">
      <c r="A225" s="14">
        <f t="shared" si="3"/>
        <v>220</v>
      </c>
      <c r="B225" s="16"/>
      <c r="C225" s="16" t="s">
        <v>50</v>
      </c>
      <c r="D225" s="16"/>
      <c r="E225" s="17" t="s">
        <v>90</v>
      </c>
      <c r="F225" s="18"/>
      <c r="G225" s="19"/>
      <c r="H225" s="54"/>
    </row>
    <row r="226" spans="1:8" ht="18.75" x14ac:dyDescent="0.25">
      <c r="A226" s="14">
        <f t="shared" si="3"/>
        <v>221</v>
      </c>
      <c r="B226" s="16"/>
      <c r="C226" s="16" t="s">
        <v>245</v>
      </c>
      <c r="D226" s="16"/>
      <c r="E226" s="17" t="s">
        <v>90</v>
      </c>
      <c r="F226" s="18"/>
      <c r="G226" s="19"/>
      <c r="H226" s="54"/>
    </row>
    <row r="227" spans="1:8" ht="18.75" x14ac:dyDescent="0.25">
      <c r="A227" s="14">
        <f t="shared" si="3"/>
        <v>222</v>
      </c>
      <c r="B227" s="16"/>
      <c r="C227" s="16"/>
      <c r="D227" s="16" t="s">
        <v>339</v>
      </c>
      <c r="E227" s="17" t="s">
        <v>90</v>
      </c>
      <c r="F227" s="18"/>
      <c r="G227" s="19"/>
      <c r="H227" s="54"/>
    </row>
    <row r="228" spans="1:8" ht="18.75" x14ac:dyDescent="0.25">
      <c r="A228" s="14">
        <f t="shared" si="3"/>
        <v>223</v>
      </c>
      <c r="B228" s="16"/>
      <c r="C228" s="16"/>
      <c r="D228" s="16" t="s">
        <v>340</v>
      </c>
      <c r="E228" s="17" t="s">
        <v>90</v>
      </c>
      <c r="F228" s="18"/>
      <c r="G228" s="19"/>
      <c r="H228" s="54"/>
    </row>
    <row r="229" spans="1:8" ht="18.75" x14ac:dyDescent="0.25">
      <c r="A229" s="14">
        <f t="shared" si="3"/>
        <v>224</v>
      </c>
      <c r="B229" s="16" t="s">
        <v>246</v>
      </c>
      <c r="C229" s="16" t="s">
        <v>247</v>
      </c>
      <c r="D229" s="16"/>
      <c r="E229" s="17" t="s">
        <v>249</v>
      </c>
      <c r="F229" s="18"/>
      <c r="G229" s="19"/>
      <c r="H229" s="54"/>
    </row>
    <row r="230" spans="1:8" ht="18.75" x14ac:dyDescent="0.25">
      <c r="A230" s="14">
        <f t="shared" si="3"/>
        <v>225</v>
      </c>
      <c r="B230" s="16"/>
      <c r="C230" s="16" t="s">
        <v>101</v>
      </c>
      <c r="D230" s="16"/>
      <c r="E230" s="17" t="s">
        <v>150</v>
      </c>
      <c r="F230" s="18"/>
      <c r="G230" s="19"/>
      <c r="H230" s="54"/>
    </row>
    <row r="231" spans="1:8" s="57" customFormat="1" ht="18.75" x14ac:dyDescent="0.25">
      <c r="A231" s="14">
        <f t="shared" si="3"/>
        <v>226</v>
      </c>
      <c r="B231" s="16"/>
      <c r="C231" s="16" t="s">
        <v>547</v>
      </c>
      <c r="D231" s="16"/>
      <c r="E231" s="17" t="s">
        <v>150</v>
      </c>
      <c r="F231" s="18"/>
      <c r="G231" s="19"/>
      <c r="H231" s="54"/>
    </row>
    <row r="232" spans="1:8" ht="18.75" x14ac:dyDescent="0.25">
      <c r="A232" s="14">
        <f t="shared" si="3"/>
        <v>227</v>
      </c>
      <c r="B232" s="16"/>
      <c r="C232" s="16" t="s">
        <v>53</v>
      </c>
      <c r="D232" s="16"/>
      <c r="E232" s="17" t="s">
        <v>150</v>
      </c>
      <c r="F232" s="18"/>
      <c r="G232" s="19"/>
      <c r="H232" s="54"/>
    </row>
    <row r="233" spans="1:8" ht="18.75" x14ac:dyDescent="0.25">
      <c r="A233" s="14">
        <f t="shared" si="3"/>
        <v>228</v>
      </c>
      <c r="B233" s="16"/>
      <c r="C233" s="16" t="s">
        <v>129</v>
      </c>
      <c r="D233" s="16"/>
      <c r="E233" s="17" t="s">
        <v>150</v>
      </c>
      <c r="F233" s="18"/>
      <c r="G233" s="19"/>
      <c r="H233" s="54"/>
    </row>
    <row r="234" spans="1:8" ht="18.75" x14ac:dyDescent="0.25">
      <c r="A234" s="14">
        <f t="shared" si="3"/>
        <v>229</v>
      </c>
      <c r="B234" s="16"/>
      <c r="C234" s="16" t="s">
        <v>143</v>
      </c>
      <c r="D234" s="16"/>
      <c r="E234" s="17" t="s">
        <v>150</v>
      </c>
      <c r="F234" s="18"/>
      <c r="G234" s="19"/>
      <c r="H234" s="54"/>
    </row>
    <row r="235" spans="1:8" ht="18.75" x14ac:dyDescent="0.25">
      <c r="A235" s="14">
        <f t="shared" si="3"/>
        <v>230</v>
      </c>
      <c r="B235" s="16"/>
      <c r="C235" s="16" t="s">
        <v>144</v>
      </c>
      <c r="D235" s="16"/>
      <c r="E235" s="17" t="s">
        <v>150</v>
      </c>
      <c r="F235" s="18"/>
      <c r="G235" s="19"/>
      <c r="H235" s="54"/>
    </row>
    <row r="236" spans="1:8" ht="18.75" x14ac:dyDescent="0.25">
      <c r="A236" s="14">
        <f t="shared" si="3"/>
        <v>231</v>
      </c>
      <c r="B236" s="16"/>
      <c r="C236" s="16" t="s">
        <v>145</v>
      </c>
      <c r="D236" s="16"/>
      <c r="E236" s="17" t="s">
        <v>150</v>
      </c>
      <c r="F236" s="18"/>
      <c r="G236" s="19"/>
      <c r="H236" s="54"/>
    </row>
    <row r="237" spans="1:8" ht="18.75" x14ac:dyDescent="0.25">
      <c r="A237" s="14">
        <f t="shared" si="3"/>
        <v>232</v>
      </c>
      <c r="B237" s="16"/>
      <c r="C237" s="16" t="s">
        <v>120</v>
      </c>
      <c r="D237" s="16"/>
      <c r="E237" s="17" t="s">
        <v>150</v>
      </c>
      <c r="F237" s="18"/>
      <c r="G237" s="19"/>
      <c r="H237" s="54"/>
    </row>
    <row r="238" spans="1:8" ht="18.75" x14ac:dyDescent="0.25">
      <c r="A238" s="14">
        <f t="shared" si="3"/>
        <v>233</v>
      </c>
      <c r="B238" s="16"/>
      <c r="C238" s="16" t="s">
        <v>146</v>
      </c>
      <c r="D238" s="16"/>
      <c r="E238" s="17" t="s">
        <v>150</v>
      </c>
      <c r="F238" s="18"/>
      <c r="G238" s="19"/>
      <c r="H238" s="54"/>
    </row>
    <row r="239" spans="1:8" ht="18.75" x14ac:dyDescent="0.25">
      <c r="A239" s="14">
        <f t="shared" si="3"/>
        <v>234</v>
      </c>
      <c r="B239" s="16"/>
      <c r="C239" s="16" t="s">
        <v>147</v>
      </c>
      <c r="D239" s="16"/>
      <c r="E239" s="17" t="s">
        <v>150</v>
      </c>
      <c r="F239" s="18"/>
      <c r="G239" s="19"/>
      <c r="H239" s="54"/>
    </row>
    <row r="240" spans="1:8" ht="18.75" x14ac:dyDescent="0.25">
      <c r="A240" s="14">
        <f t="shared" si="3"/>
        <v>235</v>
      </c>
      <c r="B240" s="16"/>
      <c r="C240" s="16" t="s">
        <v>148</v>
      </c>
      <c r="D240" s="16"/>
      <c r="E240" s="17" t="s">
        <v>150</v>
      </c>
      <c r="F240" s="18"/>
      <c r="G240" s="19"/>
      <c r="H240" s="54"/>
    </row>
    <row r="241" spans="1:8" ht="18.75" x14ac:dyDescent="0.25">
      <c r="A241" s="14">
        <f t="shared" si="3"/>
        <v>236</v>
      </c>
      <c r="B241" s="16"/>
      <c r="C241" s="16" t="s">
        <v>149</v>
      </c>
      <c r="D241" s="16"/>
      <c r="E241" s="17" t="s">
        <v>150</v>
      </c>
      <c r="F241" s="18"/>
      <c r="G241" s="19"/>
      <c r="H241" s="54"/>
    </row>
    <row r="242" spans="1:8" ht="18.75" x14ac:dyDescent="0.25">
      <c r="A242" s="14">
        <f t="shared" si="3"/>
        <v>237</v>
      </c>
      <c r="B242" s="16"/>
      <c r="C242" s="16" t="s">
        <v>116</v>
      </c>
      <c r="D242" s="16"/>
      <c r="E242" s="17" t="s">
        <v>150</v>
      </c>
      <c r="F242" s="18"/>
      <c r="G242" s="19"/>
      <c r="H242" s="54"/>
    </row>
    <row r="243" spans="1:8" ht="18.75" x14ac:dyDescent="0.25">
      <c r="A243" s="14">
        <f t="shared" si="3"/>
        <v>238</v>
      </c>
      <c r="B243" s="16"/>
      <c r="C243" s="16" t="s">
        <v>248</v>
      </c>
      <c r="D243" s="16"/>
      <c r="E243" s="17" t="s">
        <v>95</v>
      </c>
      <c r="F243" s="18"/>
      <c r="G243" s="19"/>
      <c r="H243" s="54"/>
    </row>
    <row r="244" spans="1:8" ht="37.5" x14ac:dyDescent="0.25">
      <c r="A244" s="14">
        <f t="shared" si="3"/>
        <v>239</v>
      </c>
      <c r="B244" s="16" t="s">
        <v>257</v>
      </c>
      <c r="C244" s="16" t="s">
        <v>258</v>
      </c>
      <c r="D244" s="16"/>
      <c r="E244" s="17" t="s">
        <v>91</v>
      </c>
      <c r="F244" s="18"/>
      <c r="G244" s="19"/>
      <c r="H244" s="54"/>
    </row>
    <row r="245" spans="1:8" ht="18.75" x14ac:dyDescent="0.25">
      <c r="A245" s="14">
        <f t="shared" si="3"/>
        <v>240</v>
      </c>
      <c r="B245" s="16"/>
      <c r="C245" s="16" t="s">
        <v>259</v>
      </c>
      <c r="D245" s="16"/>
      <c r="E245" s="17" t="s">
        <v>91</v>
      </c>
      <c r="F245" s="18"/>
      <c r="G245" s="19"/>
      <c r="H245" s="54"/>
    </row>
    <row r="246" spans="1:8" ht="18.75" x14ac:dyDescent="0.25">
      <c r="A246" s="14">
        <f t="shared" si="3"/>
        <v>241</v>
      </c>
      <c r="B246" s="16"/>
      <c r="C246" s="16" t="s">
        <v>260</v>
      </c>
      <c r="D246" s="16"/>
      <c r="E246" s="17" t="s">
        <v>91</v>
      </c>
      <c r="F246" s="18"/>
      <c r="G246" s="19"/>
      <c r="H246" s="54"/>
    </row>
    <row r="247" spans="1:8" ht="18.75" x14ac:dyDescent="0.25">
      <c r="A247" s="14">
        <f t="shared" si="3"/>
        <v>242</v>
      </c>
      <c r="B247" s="16"/>
      <c r="C247" s="16" t="s">
        <v>261</v>
      </c>
      <c r="D247" s="16"/>
      <c r="E247" s="17" t="s">
        <v>91</v>
      </c>
      <c r="F247" s="18"/>
      <c r="G247" s="19"/>
      <c r="H247" s="54"/>
    </row>
    <row r="248" spans="1:8" ht="18.75" x14ac:dyDescent="0.25">
      <c r="A248" s="14">
        <f t="shared" si="3"/>
        <v>243</v>
      </c>
      <c r="B248" s="16"/>
      <c r="C248" s="16" t="s">
        <v>262</v>
      </c>
      <c r="D248" s="16"/>
      <c r="E248" s="17" t="s">
        <v>89</v>
      </c>
      <c r="F248" s="18"/>
      <c r="G248" s="19"/>
      <c r="H248" s="54"/>
    </row>
    <row r="249" spans="1:8" ht="18.75" x14ac:dyDescent="0.25">
      <c r="A249" s="14">
        <f t="shared" si="3"/>
        <v>244</v>
      </c>
      <c r="B249" s="16"/>
      <c r="C249" s="16" t="s">
        <v>263</v>
      </c>
      <c r="D249" s="16"/>
      <c r="E249" s="17"/>
      <c r="F249" s="18"/>
      <c r="G249" s="19"/>
      <c r="H249" s="54"/>
    </row>
    <row r="250" spans="1:8" ht="18.75" x14ac:dyDescent="0.25">
      <c r="A250" s="14">
        <f t="shared" si="3"/>
        <v>245</v>
      </c>
      <c r="B250" s="16"/>
      <c r="C250" s="16"/>
      <c r="D250" s="16" t="s">
        <v>264</v>
      </c>
      <c r="E250" s="17" t="s">
        <v>90</v>
      </c>
      <c r="F250" s="18"/>
      <c r="G250" s="19"/>
      <c r="H250" s="54"/>
    </row>
    <row r="251" spans="1:8" ht="18.75" x14ac:dyDescent="0.25">
      <c r="A251" s="14">
        <f t="shared" si="3"/>
        <v>246</v>
      </c>
      <c r="B251" s="16"/>
      <c r="C251" s="16"/>
      <c r="D251" s="16" t="s">
        <v>248</v>
      </c>
      <c r="E251" s="17" t="s">
        <v>95</v>
      </c>
      <c r="F251" s="18"/>
      <c r="G251" s="19"/>
      <c r="H251" s="54"/>
    </row>
  </sheetData>
  <autoFilter ref="A5:H251"/>
  <conditionalFormatting sqref="F5 F58 F73 F138:F140 F195:F1048576">
    <cfRule type="cellIs" dxfId="507" priority="383" operator="equal">
      <formula>"Fail"</formula>
    </cfRule>
    <cfRule type="cellIs" dxfId="506" priority="384" operator="equal">
      <formula>"Pass"</formula>
    </cfRule>
  </conditionalFormatting>
  <conditionalFormatting sqref="E1:E3">
    <cfRule type="cellIs" dxfId="499" priority="373" operator="equal">
      <formula>"Fail"</formula>
    </cfRule>
    <cfRule type="cellIs" dxfId="498" priority="374" operator="equal">
      <formula>"Pass"</formula>
    </cfRule>
  </conditionalFormatting>
  <conditionalFormatting sqref="F6">
    <cfRule type="cellIs" dxfId="497" priority="369" operator="equal">
      <formula>"Fail"</formula>
    </cfRule>
    <cfRule type="cellIs" dxfId="496" priority="370" operator="equal">
      <formula>"Pass"</formula>
    </cfRule>
  </conditionalFormatting>
  <conditionalFormatting sqref="F7">
    <cfRule type="cellIs" dxfId="495" priority="367" operator="equal">
      <formula>"Fail"</formula>
    </cfRule>
    <cfRule type="cellIs" dxfId="494" priority="368" operator="equal">
      <formula>"Pass"</formula>
    </cfRule>
  </conditionalFormatting>
  <conditionalFormatting sqref="F8">
    <cfRule type="cellIs" dxfId="493" priority="365" operator="equal">
      <formula>"Fail"</formula>
    </cfRule>
    <cfRule type="cellIs" dxfId="492" priority="366" operator="equal">
      <formula>"Pass"</formula>
    </cfRule>
  </conditionalFormatting>
  <conditionalFormatting sqref="F9">
    <cfRule type="cellIs" dxfId="491" priority="363" operator="equal">
      <formula>"Fail"</formula>
    </cfRule>
    <cfRule type="cellIs" dxfId="490" priority="364" operator="equal">
      <formula>"Pass"</formula>
    </cfRule>
  </conditionalFormatting>
  <conditionalFormatting sqref="F10">
    <cfRule type="cellIs" dxfId="489" priority="361" operator="equal">
      <formula>"Fail"</formula>
    </cfRule>
    <cfRule type="cellIs" dxfId="488" priority="362" operator="equal">
      <formula>"Pass"</formula>
    </cfRule>
  </conditionalFormatting>
  <conditionalFormatting sqref="F11">
    <cfRule type="cellIs" dxfId="487" priority="359" operator="equal">
      <formula>"Fail"</formula>
    </cfRule>
    <cfRule type="cellIs" dxfId="486" priority="360" operator="equal">
      <formula>"Pass"</formula>
    </cfRule>
  </conditionalFormatting>
  <conditionalFormatting sqref="F12">
    <cfRule type="cellIs" dxfId="485" priority="357" operator="equal">
      <formula>"Fail"</formula>
    </cfRule>
    <cfRule type="cellIs" dxfId="484" priority="358" operator="equal">
      <formula>"Pass"</formula>
    </cfRule>
  </conditionalFormatting>
  <conditionalFormatting sqref="F13">
    <cfRule type="cellIs" dxfId="483" priority="355" operator="equal">
      <formula>"Fail"</formula>
    </cfRule>
    <cfRule type="cellIs" dxfId="482" priority="356" operator="equal">
      <formula>"Pass"</formula>
    </cfRule>
  </conditionalFormatting>
  <conditionalFormatting sqref="F14">
    <cfRule type="cellIs" dxfId="481" priority="353" operator="equal">
      <formula>"Fail"</formula>
    </cfRule>
    <cfRule type="cellIs" dxfId="480" priority="354" operator="equal">
      <formula>"Pass"</formula>
    </cfRule>
  </conditionalFormatting>
  <conditionalFormatting sqref="F15">
    <cfRule type="cellIs" dxfId="479" priority="351" operator="equal">
      <formula>"Fail"</formula>
    </cfRule>
    <cfRule type="cellIs" dxfId="478" priority="352" operator="equal">
      <formula>"Pass"</formula>
    </cfRule>
  </conditionalFormatting>
  <conditionalFormatting sqref="F16">
    <cfRule type="cellIs" dxfId="477" priority="349" operator="equal">
      <formula>"Fail"</formula>
    </cfRule>
    <cfRule type="cellIs" dxfId="476" priority="350" operator="equal">
      <formula>"Pass"</formula>
    </cfRule>
  </conditionalFormatting>
  <conditionalFormatting sqref="F17">
    <cfRule type="cellIs" dxfId="475" priority="347" operator="equal">
      <formula>"Fail"</formula>
    </cfRule>
    <cfRule type="cellIs" dxfId="474" priority="348" operator="equal">
      <formula>"Pass"</formula>
    </cfRule>
  </conditionalFormatting>
  <conditionalFormatting sqref="F18">
    <cfRule type="cellIs" dxfId="473" priority="345" operator="equal">
      <formula>"Fail"</formula>
    </cfRule>
    <cfRule type="cellIs" dxfId="472" priority="346" operator="equal">
      <formula>"Pass"</formula>
    </cfRule>
  </conditionalFormatting>
  <conditionalFormatting sqref="F19">
    <cfRule type="cellIs" dxfId="471" priority="343" operator="equal">
      <formula>"Fail"</formula>
    </cfRule>
    <cfRule type="cellIs" dxfId="470" priority="344" operator="equal">
      <formula>"Pass"</formula>
    </cfRule>
  </conditionalFormatting>
  <conditionalFormatting sqref="F20">
    <cfRule type="cellIs" dxfId="469" priority="341" operator="equal">
      <formula>"Fail"</formula>
    </cfRule>
    <cfRule type="cellIs" dxfId="468" priority="342" operator="equal">
      <formula>"Pass"</formula>
    </cfRule>
  </conditionalFormatting>
  <conditionalFormatting sqref="F21">
    <cfRule type="cellIs" dxfId="467" priority="339" operator="equal">
      <formula>"Fail"</formula>
    </cfRule>
    <cfRule type="cellIs" dxfId="466" priority="340" operator="equal">
      <formula>"Pass"</formula>
    </cfRule>
  </conditionalFormatting>
  <conditionalFormatting sqref="F22">
    <cfRule type="cellIs" dxfId="465" priority="337" operator="equal">
      <formula>"Fail"</formula>
    </cfRule>
    <cfRule type="cellIs" dxfId="464" priority="338" operator="equal">
      <formula>"Pass"</formula>
    </cfRule>
  </conditionalFormatting>
  <conditionalFormatting sqref="F23">
    <cfRule type="cellIs" dxfId="463" priority="335" operator="equal">
      <formula>"Fail"</formula>
    </cfRule>
    <cfRule type="cellIs" dxfId="462" priority="336" operator="equal">
      <formula>"Pass"</formula>
    </cfRule>
  </conditionalFormatting>
  <conditionalFormatting sqref="F24">
    <cfRule type="cellIs" dxfId="461" priority="333" operator="equal">
      <formula>"Fail"</formula>
    </cfRule>
    <cfRule type="cellIs" dxfId="460" priority="334" operator="equal">
      <formula>"Pass"</formula>
    </cfRule>
  </conditionalFormatting>
  <conditionalFormatting sqref="F25">
    <cfRule type="cellIs" dxfId="459" priority="331" operator="equal">
      <formula>"Fail"</formula>
    </cfRule>
    <cfRule type="cellIs" dxfId="458" priority="332" operator="equal">
      <formula>"Pass"</formula>
    </cfRule>
  </conditionalFormatting>
  <conditionalFormatting sqref="F26">
    <cfRule type="cellIs" dxfId="457" priority="329" operator="equal">
      <formula>"Fail"</formula>
    </cfRule>
    <cfRule type="cellIs" dxfId="456" priority="330" operator="equal">
      <formula>"Pass"</formula>
    </cfRule>
  </conditionalFormatting>
  <conditionalFormatting sqref="F27">
    <cfRule type="cellIs" dxfId="455" priority="327" operator="equal">
      <formula>"Fail"</formula>
    </cfRule>
    <cfRule type="cellIs" dxfId="454" priority="328" operator="equal">
      <formula>"Pass"</formula>
    </cfRule>
  </conditionalFormatting>
  <conditionalFormatting sqref="F28">
    <cfRule type="cellIs" dxfId="453" priority="325" operator="equal">
      <formula>"Fail"</formula>
    </cfRule>
    <cfRule type="cellIs" dxfId="452" priority="326" operator="equal">
      <formula>"Pass"</formula>
    </cfRule>
  </conditionalFormatting>
  <conditionalFormatting sqref="F29">
    <cfRule type="cellIs" dxfId="451" priority="323" operator="equal">
      <formula>"Fail"</formula>
    </cfRule>
    <cfRule type="cellIs" dxfId="450" priority="324" operator="equal">
      <formula>"Pass"</formula>
    </cfRule>
  </conditionalFormatting>
  <conditionalFormatting sqref="F30">
    <cfRule type="cellIs" dxfId="449" priority="321" operator="equal">
      <formula>"Fail"</formula>
    </cfRule>
    <cfRule type="cellIs" dxfId="448" priority="322" operator="equal">
      <formula>"Pass"</formula>
    </cfRule>
  </conditionalFormatting>
  <conditionalFormatting sqref="F31">
    <cfRule type="cellIs" dxfId="447" priority="319" operator="equal">
      <formula>"Fail"</formula>
    </cfRule>
    <cfRule type="cellIs" dxfId="446" priority="320" operator="equal">
      <formula>"Pass"</formula>
    </cfRule>
  </conditionalFormatting>
  <conditionalFormatting sqref="F32">
    <cfRule type="cellIs" dxfId="445" priority="317" operator="equal">
      <formula>"Fail"</formula>
    </cfRule>
    <cfRule type="cellIs" dxfId="444" priority="318" operator="equal">
      <formula>"Pass"</formula>
    </cfRule>
  </conditionalFormatting>
  <conditionalFormatting sqref="F33">
    <cfRule type="cellIs" dxfId="443" priority="315" operator="equal">
      <formula>"Fail"</formula>
    </cfRule>
    <cfRule type="cellIs" dxfId="442" priority="316" operator="equal">
      <formula>"Pass"</formula>
    </cfRule>
  </conditionalFormatting>
  <conditionalFormatting sqref="F34">
    <cfRule type="cellIs" dxfId="441" priority="313" operator="equal">
      <formula>"Fail"</formula>
    </cfRule>
    <cfRule type="cellIs" dxfId="440" priority="314" operator="equal">
      <formula>"Pass"</formula>
    </cfRule>
  </conditionalFormatting>
  <conditionalFormatting sqref="F35">
    <cfRule type="cellIs" dxfId="439" priority="311" operator="equal">
      <formula>"Fail"</formula>
    </cfRule>
    <cfRule type="cellIs" dxfId="438" priority="312" operator="equal">
      <formula>"Pass"</formula>
    </cfRule>
  </conditionalFormatting>
  <conditionalFormatting sqref="F36">
    <cfRule type="cellIs" dxfId="437" priority="309" operator="equal">
      <formula>"Fail"</formula>
    </cfRule>
    <cfRule type="cellIs" dxfId="436" priority="310" operator="equal">
      <formula>"Pass"</formula>
    </cfRule>
  </conditionalFormatting>
  <conditionalFormatting sqref="F37">
    <cfRule type="cellIs" dxfId="435" priority="307" operator="equal">
      <formula>"Fail"</formula>
    </cfRule>
    <cfRule type="cellIs" dxfId="434" priority="308" operator="equal">
      <formula>"Pass"</formula>
    </cfRule>
  </conditionalFormatting>
  <conditionalFormatting sqref="F38">
    <cfRule type="cellIs" dxfId="433" priority="305" operator="equal">
      <formula>"Fail"</formula>
    </cfRule>
    <cfRule type="cellIs" dxfId="432" priority="306" operator="equal">
      <formula>"Pass"</formula>
    </cfRule>
  </conditionalFormatting>
  <conditionalFormatting sqref="F39">
    <cfRule type="cellIs" dxfId="431" priority="303" operator="equal">
      <formula>"Fail"</formula>
    </cfRule>
    <cfRule type="cellIs" dxfId="430" priority="304" operator="equal">
      <formula>"Pass"</formula>
    </cfRule>
  </conditionalFormatting>
  <conditionalFormatting sqref="F40">
    <cfRule type="cellIs" dxfId="429" priority="301" operator="equal">
      <formula>"Fail"</formula>
    </cfRule>
    <cfRule type="cellIs" dxfId="428" priority="302" operator="equal">
      <formula>"Pass"</formula>
    </cfRule>
  </conditionalFormatting>
  <conditionalFormatting sqref="F41">
    <cfRule type="cellIs" dxfId="427" priority="299" operator="equal">
      <formula>"Fail"</formula>
    </cfRule>
    <cfRule type="cellIs" dxfId="426" priority="300" operator="equal">
      <formula>"Pass"</formula>
    </cfRule>
  </conditionalFormatting>
  <conditionalFormatting sqref="F42">
    <cfRule type="cellIs" dxfId="425" priority="295" operator="equal">
      <formula>"Fail"</formula>
    </cfRule>
    <cfRule type="cellIs" dxfId="424" priority="296" operator="equal">
      <formula>"Pass"</formula>
    </cfRule>
  </conditionalFormatting>
  <conditionalFormatting sqref="F43">
    <cfRule type="cellIs" dxfId="423" priority="293" operator="equal">
      <formula>"Fail"</formula>
    </cfRule>
    <cfRule type="cellIs" dxfId="422" priority="294" operator="equal">
      <formula>"Pass"</formula>
    </cfRule>
  </conditionalFormatting>
  <conditionalFormatting sqref="F44">
    <cfRule type="cellIs" dxfId="421" priority="291" operator="equal">
      <formula>"Fail"</formula>
    </cfRule>
    <cfRule type="cellIs" dxfId="420" priority="292" operator="equal">
      <formula>"Pass"</formula>
    </cfRule>
  </conditionalFormatting>
  <conditionalFormatting sqref="F45">
    <cfRule type="cellIs" dxfId="419" priority="289" operator="equal">
      <formula>"Fail"</formula>
    </cfRule>
    <cfRule type="cellIs" dxfId="418" priority="290" operator="equal">
      <formula>"Pass"</formula>
    </cfRule>
  </conditionalFormatting>
  <conditionalFormatting sqref="F46">
    <cfRule type="cellIs" dxfId="417" priority="287" operator="equal">
      <formula>"Fail"</formula>
    </cfRule>
    <cfRule type="cellIs" dxfId="416" priority="288" operator="equal">
      <formula>"Pass"</formula>
    </cfRule>
  </conditionalFormatting>
  <conditionalFormatting sqref="F47">
    <cfRule type="cellIs" dxfId="415" priority="285" operator="equal">
      <formula>"Fail"</formula>
    </cfRule>
    <cfRule type="cellIs" dxfId="414" priority="286" operator="equal">
      <formula>"Pass"</formula>
    </cfRule>
  </conditionalFormatting>
  <conditionalFormatting sqref="F48">
    <cfRule type="cellIs" dxfId="413" priority="283" operator="equal">
      <formula>"Fail"</formula>
    </cfRule>
    <cfRule type="cellIs" dxfId="412" priority="284" operator="equal">
      <formula>"Pass"</formula>
    </cfRule>
  </conditionalFormatting>
  <conditionalFormatting sqref="F49">
    <cfRule type="cellIs" dxfId="411" priority="281" operator="equal">
      <formula>"Fail"</formula>
    </cfRule>
    <cfRule type="cellIs" dxfId="410" priority="282" operator="equal">
      <formula>"Pass"</formula>
    </cfRule>
  </conditionalFormatting>
  <conditionalFormatting sqref="F50">
    <cfRule type="cellIs" dxfId="409" priority="279" operator="equal">
      <formula>"Fail"</formula>
    </cfRule>
    <cfRule type="cellIs" dxfId="408" priority="280" operator="equal">
      <formula>"Pass"</formula>
    </cfRule>
  </conditionalFormatting>
  <conditionalFormatting sqref="F51">
    <cfRule type="cellIs" dxfId="407" priority="277" operator="equal">
      <formula>"Fail"</formula>
    </cfRule>
    <cfRule type="cellIs" dxfId="406" priority="278" operator="equal">
      <formula>"Pass"</formula>
    </cfRule>
  </conditionalFormatting>
  <conditionalFormatting sqref="F52">
    <cfRule type="cellIs" dxfId="405" priority="275" operator="equal">
      <formula>"Fail"</formula>
    </cfRule>
    <cfRule type="cellIs" dxfId="404" priority="276" operator="equal">
      <formula>"Pass"</formula>
    </cfRule>
  </conditionalFormatting>
  <conditionalFormatting sqref="F53">
    <cfRule type="cellIs" dxfId="403" priority="273" operator="equal">
      <formula>"Fail"</formula>
    </cfRule>
    <cfRule type="cellIs" dxfId="402" priority="274" operator="equal">
      <formula>"Pass"</formula>
    </cfRule>
  </conditionalFormatting>
  <conditionalFormatting sqref="F54">
    <cfRule type="cellIs" dxfId="401" priority="271" operator="equal">
      <formula>"Fail"</formula>
    </cfRule>
    <cfRule type="cellIs" dxfId="400" priority="272" operator="equal">
      <formula>"Pass"</formula>
    </cfRule>
  </conditionalFormatting>
  <conditionalFormatting sqref="F55">
    <cfRule type="cellIs" dxfId="399" priority="269" operator="equal">
      <formula>"Fail"</formula>
    </cfRule>
    <cfRule type="cellIs" dxfId="398" priority="270" operator="equal">
      <formula>"Pass"</formula>
    </cfRule>
  </conditionalFormatting>
  <conditionalFormatting sqref="F56">
    <cfRule type="cellIs" dxfId="397" priority="267" operator="equal">
      <formula>"Fail"</formula>
    </cfRule>
    <cfRule type="cellIs" dxfId="396" priority="268" operator="equal">
      <formula>"Pass"</formula>
    </cfRule>
  </conditionalFormatting>
  <conditionalFormatting sqref="F57">
    <cfRule type="cellIs" dxfId="395" priority="265" operator="equal">
      <formula>"Fail"</formula>
    </cfRule>
    <cfRule type="cellIs" dxfId="394" priority="266" operator="equal">
      <formula>"Pass"</formula>
    </cfRule>
  </conditionalFormatting>
  <conditionalFormatting sqref="F59">
    <cfRule type="cellIs" dxfId="393" priority="263" operator="equal">
      <formula>"Fail"</formula>
    </cfRule>
    <cfRule type="cellIs" dxfId="392" priority="264" operator="equal">
      <formula>"Pass"</formula>
    </cfRule>
  </conditionalFormatting>
  <conditionalFormatting sqref="F60">
    <cfRule type="cellIs" dxfId="391" priority="261" operator="equal">
      <formula>"Fail"</formula>
    </cfRule>
    <cfRule type="cellIs" dxfId="390" priority="262" operator="equal">
      <formula>"Pass"</formula>
    </cfRule>
  </conditionalFormatting>
  <conditionalFormatting sqref="F61">
    <cfRule type="cellIs" dxfId="389" priority="259" operator="equal">
      <formula>"Fail"</formula>
    </cfRule>
    <cfRule type="cellIs" dxfId="388" priority="260" operator="equal">
      <formula>"Pass"</formula>
    </cfRule>
  </conditionalFormatting>
  <conditionalFormatting sqref="F62">
    <cfRule type="cellIs" dxfId="387" priority="257" operator="equal">
      <formula>"Fail"</formula>
    </cfRule>
    <cfRule type="cellIs" dxfId="386" priority="258" operator="equal">
      <formula>"Pass"</formula>
    </cfRule>
  </conditionalFormatting>
  <conditionalFormatting sqref="F63">
    <cfRule type="cellIs" dxfId="385" priority="255" operator="equal">
      <formula>"Fail"</formula>
    </cfRule>
    <cfRule type="cellIs" dxfId="384" priority="256" operator="equal">
      <formula>"Pass"</formula>
    </cfRule>
  </conditionalFormatting>
  <conditionalFormatting sqref="F64">
    <cfRule type="cellIs" dxfId="383" priority="253" operator="equal">
      <formula>"Fail"</formula>
    </cfRule>
    <cfRule type="cellIs" dxfId="382" priority="254" operator="equal">
      <formula>"Pass"</formula>
    </cfRule>
  </conditionalFormatting>
  <conditionalFormatting sqref="F65">
    <cfRule type="cellIs" dxfId="381" priority="251" operator="equal">
      <formula>"Fail"</formula>
    </cfRule>
    <cfRule type="cellIs" dxfId="380" priority="252" operator="equal">
      <formula>"Pass"</formula>
    </cfRule>
  </conditionalFormatting>
  <conditionalFormatting sqref="F66">
    <cfRule type="cellIs" dxfId="379" priority="249" operator="equal">
      <formula>"Fail"</formula>
    </cfRule>
    <cfRule type="cellIs" dxfId="378" priority="250" operator="equal">
      <formula>"Pass"</formula>
    </cfRule>
  </conditionalFormatting>
  <conditionalFormatting sqref="F67">
    <cfRule type="cellIs" dxfId="377" priority="247" operator="equal">
      <formula>"Fail"</formula>
    </cfRule>
    <cfRule type="cellIs" dxfId="376" priority="248" operator="equal">
      <formula>"Pass"</formula>
    </cfRule>
  </conditionalFormatting>
  <conditionalFormatting sqref="F68">
    <cfRule type="cellIs" dxfId="375" priority="245" operator="equal">
      <formula>"Fail"</formula>
    </cfRule>
    <cfRule type="cellIs" dxfId="374" priority="246" operator="equal">
      <formula>"Pass"</formula>
    </cfRule>
  </conditionalFormatting>
  <conditionalFormatting sqref="F69">
    <cfRule type="cellIs" dxfId="373" priority="241" operator="equal">
      <formula>"Fail"</formula>
    </cfRule>
    <cfRule type="cellIs" dxfId="372" priority="242" operator="equal">
      <formula>"Pass"</formula>
    </cfRule>
  </conditionalFormatting>
  <conditionalFormatting sqref="F70">
    <cfRule type="cellIs" dxfId="371" priority="239" operator="equal">
      <formula>"Fail"</formula>
    </cfRule>
    <cfRule type="cellIs" dxfId="370" priority="240" operator="equal">
      <formula>"Pass"</formula>
    </cfRule>
  </conditionalFormatting>
  <conditionalFormatting sqref="F71">
    <cfRule type="cellIs" dxfId="369" priority="237" operator="equal">
      <formula>"Fail"</formula>
    </cfRule>
    <cfRule type="cellIs" dxfId="368" priority="238" operator="equal">
      <formula>"Pass"</formula>
    </cfRule>
  </conditionalFormatting>
  <conditionalFormatting sqref="F72">
    <cfRule type="cellIs" dxfId="367" priority="235" operator="equal">
      <formula>"Fail"</formula>
    </cfRule>
    <cfRule type="cellIs" dxfId="366" priority="236" operator="equal">
      <formula>"Pass"</formula>
    </cfRule>
  </conditionalFormatting>
  <conditionalFormatting sqref="F74">
    <cfRule type="cellIs" dxfId="365" priority="233" operator="equal">
      <formula>"Fail"</formula>
    </cfRule>
    <cfRule type="cellIs" dxfId="364" priority="234" operator="equal">
      <formula>"Pass"</formula>
    </cfRule>
  </conditionalFormatting>
  <conditionalFormatting sqref="F75">
    <cfRule type="cellIs" dxfId="363" priority="231" operator="equal">
      <formula>"Fail"</formula>
    </cfRule>
    <cfRule type="cellIs" dxfId="362" priority="232" operator="equal">
      <formula>"Pass"</formula>
    </cfRule>
  </conditionalFormatting>
  <conditionalFormatting sqref="F76">
    <cfRule type="cellIs" dxfId="361" priority="229" operator="equal">
      <formula>"Fail"</formula>
    </cfRule>
    <cfRule type="cellIs" dxfId="360" priority="230" operator="equal">
      <formula>"Pass"</formula>
    </cfRule>
  </conditionalFormatting>
  <conditionalFormatting sqref="F77">
    <cfRule type="cellIs" dxfId="359" priority="227" operator="equal">
      <formula>"Fail"</formula>
    </cfRule>
    <cfRule type="cellIs" dxfId="358" priority="228" operator="equal">
      <formula>"Pass"</formula>
    </cfRule>
  </conditionalFormatting>
  <conditionalFormatting sqref="F78">
    <cfRule type="cellIs" dxfId="357" priority="225" operator="equal">
      <formula>"Fail"</formula>
    </cfRule>
    <cfRule type="cellIs" dxfId="356" priority="226" operator="equal">
      <formula>"Pass"</formula>
    </cfRule>
  </conditionalFormatting>
  <conditionalFormatting sqref="F79">
    <cfRule type="cellIs" dxfId="355" priority="223" operator="equal">
      <formula>"Fail"</formula>
    </cfRule>
    <cfRule type="cellIs" dxfId="354" priority="224" operator="equal">
      <formula>"Pass"</formula>
    </cfRule>
  </conditionalFormatting>
  <conditionalFormatting sqref="F80">
    <cfRule type="cellIs" dxfId="353" priority="221" operator="equal">
      <formula>"Fail"</formula>
    </cfRule>
    <cfRule type="cellIs" dxfId="352" priority="222" operator="equal">
      <formula>"Pass"</formula>
    </cfRule>
  </conditionalFormatting>
  <conditionalFormatting sqref="F81">
    <cfRule type="cellIs" dxfId="351" priority="219" operator="equal">
      <formula>"Fail"</formula>
    </cfRule>
    <cfRule type="cellIs" dxfId="350" priority="220" operator="equal">
      <formula>"Pass"</formula>
    </cfRule>
  </conditionalFormatting>
  <conditionalFormatting sqref="F82">
    <cfRule type="cellIs" dxfId="349" priority="217" operator="equal">
      <formula>"Fail"</formula>
    </cfRule>
    <cfRule type="cellIs" dxfId="348" priority="218" operator="equal">
      <formula>"Pass"</formula>
    </cfRule>
  </conditionalFormatting>
  <conditionalFormatting sqref="F83">
    <cfRule type="cellIs" dxfId="347" priority="215" operator="equal">
      <formula>"Fail"</formula>
    </cfRule>
    <cfRule type="cellIs" dxfId="346" priority="216" operator="equal">
      <formula>"Pass"</formula>
    </cfRule>
  </conditionalFormatting>
  <conditionalFormatting sqref="F84">
    <cfRule type="cellIs" dxfId="345" priority="213" operator="equal">
      <formula>"Fail"</formula>
    </cfRule>
    <cfRule type="cellIs" dxfId="344" priority="214" operator="equal">
      <formula>"Pass"</formula>
    </cfRule>
  </conditionalFormatting>
  <conditionalFormatting sqref="F85">
    <cfRule type="cellIs" dxfId="343" priority="211" operator="equal">
      <formula>"Fail"</formula>
    </cfRule>
    <cfRule type="cellIs" dxfId="342" priority="212" operator="equal">
      <formula>"Pass"</formula>
    </cfRule>
  </conditionalFormatting>
  <conditionalFormatting sqref="F86">
    <cfRule type="cellIs" dxfId="341" priority="209" operator="equal">
      <formula>"Fail"</formula>
    </cfRule>
    <cfRule type="cellIs" dxfId="340" priority="210" operator="equal">
      <formula>"Pass"</formula>
    </cfRule>
  </conditionalFormatting>
  <conditionalFormatting sqref="F87:F88">
    <cfRule type="cellIs" dxfId="339" priority="205" operator="equal">
      <formula>"Fail"</formula>
    </cfRule>
    <cfRule type="cellIs" dxfId="338" priority="206" operator="equal">
      <formula>"Pass"</formula>
    </cfRule>
  </conditionalFormatting>
  <conditionalFormatting sqref="F89">
    <cfRule type="cellIs" dxfId="337" priority="203" operator="equal">
      <formula>"Fail"</formula>
    </cfRule>
    <cfRule type="cellIs" dxfId="336" priority="204" operator="equal">
      <formula>"Pass"</formula>
    </cfRule>
  </conditionalFormatting>
  <conditionalFormatting sqref="F90">
    <cfRule type="cellIs" dxfId="335" priority="201" operator="equal">
      <formula>"Fail"</formula>
    </cfRule>
    <cfRule type="cellIs" dxfId="334" priority="202" operator="equal">
      <formula>"Pass"</formula>
    </cfRule>
  </conditionalFormatting>
  <conditionalFormatting sqref="F91">
    <cfRule type="cellIs" dxfId="333" priority="199" operator="equal">
      <formula>"Fail"</formula>
    </cfRule>
    <cfRule type="cellIs" dxfId="332" priority="200" operator="equal">
      <formula>"Pass"</formula>
    </cfRule>
  </conditionalFormatting>
  <conditionalFormatting sqref="F92">
    <cfRule type="cellIs" dxfId="331" priority="197" operator="equal">
      <formula>"Fail"</formula>
    </cfRule>
    <cfRule type="cellIs" dxfId="330" priority="198" operator="equal">
      <formula>"Pass"</formula>
    </cfRule>
  </conditionalFormatting>
  <conditionalFormatting sqref="F93">
    <cfRule type="cellIs" dxfId="329" priority="195" operator="equal">
      <formula>"Fail"</formula>
    </cfRule>
    <cfRule type="cellIs" dxfId="328" priority="196" operator="equal">
      <formula>"Pass"</formula>
    </cfRule>
  </conditionalFormatting>
  <conditionalFormatting sqref="F94">
    <cfRule type="cellIs" dxfId="327" priority="193" operator="equal">
      <formula>"Fail"</formula>
    </cfRule>
    <cfRule type="cellIs" dxfId="326" priority="194" operator="equal">
      <formula>"Pass"</formula>
    </cfRule>
  </conditionalFormatting>
  <conditionalFormatting sqref="F95">
    <cfRule type="cellIs" dxfId="325" priority="191" operator="equal">
      <formula>"Fail"</formula>
    </cfRule>
    <cfRule type="cellIs" dxfId="324" priority="192" operator="equal">
      <formula>"Pass"</formula>
    </cfRule>
  </conditionalFormatting>
  <conditionalFormatting sqref="F96">
    <cfRule type="cellIs" dxfId="323" priority="189" operator="equal">
      <formula>"Fail"</formula>
    </cfRule>
    <cfRule type="cellIs" dxfId="322" priority="190" operator="equal">
      <formula>"Pass"</formula>
    </cfRule>
  </conditionalFormatting>
  <conditionalFormatting sqref="F97">
    <cfRule type="cellIs" dxfId="321" priority="187" operator="equal">
      <formula>"Fail"</formula>
    </cfRule>
    <cfRule type="cellIs" dxfId="320" priority="188" operator="equal">
      <formula>"Pass"</formula>
    </cfRule>
  </conditionalFormatting>
  <conditionalFormatting sqref="F98">
    <cfRule type="cellIs" dxfId="319" priority="185" operator="equal">
      <formula>"Fail"</formula>
    </cfRule>
    <cfRule type="cellIs" dxfId="318" priority="186" operator="equal">
      <formula>"Pass"</formula>
    </cfRule>
  </conditionalFormatting>
  <conditionalFormatting sqref="F99">
    <cfRule type="cellIs" dxfId="317" priority="183" operator="equal">
      <formula>"Fail"</formula>
    </cfRule>
    <cfRule type="cellIs" dxfId="316" priority="184" operator="equal">
      <formula>"Pass"</formula>
    </cfRule>
  </conditionalFormatting>
  <conditionalFormatting sqref="F100">
    <cfRule type="cellIs" dxfId="315" priority="181" operator="equal">
      <formula>"Fail"</formula>
    </cfRule>
    <cfRule type="cellIs" dxfId="314" priority="182" operator="equal">
      <formula>"Pass"</formula>
    </cfRule>
  </conditionalFormatting>
  <conditionalFormatting sqref="F101">
    <cfRule type="cellIs" dxfId="313" priority="179" operator="equal">
      <formula>"Fail"</formula>
    </cfRule>
    <cfRule type="cellIs" dxfId="312" priority="180" operator="equal">
      <formula>"Pass"</formula>
    </cfRule>
  </conditionalFormatting>
  <conditionalFormatting sqref="F102">
    <cfRule type="cellIs" dxfId="311" priority="177" operator="equal">
      <formula>"Fail"</formula>
    </cfRule>
    <cfRule type="cellIs" dxfId="310" priority="178" operator="equal">
      <formula>"Pass"</formula>
    </cfRule>
  </conditionalFormatting>
  <conditionalFormatting sqref="F103">
    <cfRule type="cellIs" dxfId="309" priority="175" operator="equal">
      <formula>"Fail"</formula>
    </cfRule>
    <cfRule type="cellIs" dxfId="308" priority="176" operator="equal">
      <formula>"Pass"</formula>
    </cfRule>
  </conditionalFormatting>
  <conditionalFormatting sqref="F104">
    <cfRule type="cellIs" dxfId="307" priority="173" operator="equal">
      <formula>"Fail"</formula>
    </cfRule>
    <cfRule type="cellIs" dxfId="306" priority="174" operator="equal">
      <formula>"Pass"</formula>
    </cfRule>
  </conditionalFormatting>
  <conditionalFormatting sqref="F105">
    <cfRule type="cellIs" dxfId="305" priority="171" operator="equal">
      <formula>"Fail"</formula>
    </cfRule>
    <cfRule type="cellIs" dxfId="304" priority="172" operator="equal">
      <formula>"Pass"</formula>
    </cfRule>
  </conditionalFormatting>
  <conditionalFormatting sqref="F106">
    <cfRule type="cellIs" dxfId="303" priority="169" operator="equal">
      <formula>"Fail"</formula>
    </cfRule>
    <cfRule type="cellIs" dxfId="302" priority="170" operator="equal">
      <formula>"Pass"</formula>
    </cfRule>
  </conditionalFormatting>
  <conditionalFormatting sqref="F107">
    <cfRule type="cellIs" dxfId="301" priority="167" operator="equal">
      <formula>"Fail"</formula>
    </cfRule>
    <cfRule type="cellIs" dxfId="300" priority="168" operator="equal">
      <formula>"Pass"</formula>
    </cfRule>
  </conditionalFormatting>
  <conditionalFormatting sqref="F108">
    <cfRule type="cellIs" dxfId="299" priority="165" operator="equal">
      <formula>"Fail"</formula>
    </cfRule>
    <cfRule type="cellIs" dxfId="298" priority="166" operator="equal">
      <formula>"Pass"</formula>
    </cfRule>
  </conditionalFormatting>
  <conditionalFormatting sqref="F109">
    <cfRule type="cellIs" dxfId="297" priority="163" operator="equal">
      <formula>"Fail"</formula>
    </cfRule>
    <cfRule type="cellIs" dxfId="296" priority="164" operator="equal">
      <formula>"Pass"</formula>
    </cfRule>
  </conditionalFormatting>
  <conditionalFormatting sqref="F110">
    <cfRule type="cellIs" dxfId="295" priority="161" operator="equal">
      <formula>"Fail"</formula>
    </cfRule>
    <cfRule type="cellIs" dxfId="294" priority="162" operator="equal">
      <formula>"Pass"</formula>
    </cfRule>
  </conditionalFormatting>
  <conditionalFormatting sqref="F111">
    <cfRule type="cellIs" dxfId="293" priority="159" operator="equal">
      <formula>"Fail"</formula>
    </cfRule>
    <cfRule type="cellIs" dxfId="292" priority="160" operator="equal">
      <formula>"Pass"</formula>
    </cfRule>
  </conditionalFormatting>
  <conditionalFormatting sqref="F112">
    <cfRule type="cellIs" dxfId="291" priority="157" operator="equal">
      <formula>"Fail"</formula>
    </cfRule>
    <cfRule type="cellIs" dxfId="290" priority="158" operator="equal">
      <formula>"Pass"</formula>
    </cfRule>
  </conditionalFormatting>
  <conditionalFormatting sqref="F113">
    <cfRule type="cellIs" dxfId="289" priority="155" operator="equal">
      <formula>"Fail"</formula>
    </cfRule>
    <cfRule type="cellIs" dxfId="288" priority="156" operator="equal">
      <formula>"Pass"</formula>
    </cfRule>
  </conditionalFormatting>
  <conditionalFormatting sqref="F114">
    <cfRule type="cellIs" dxfId="287" priority="153" operator="equal">
      <formula>"Fail"</formula>
    </cfRule>
    <cfRule type="cellIs" dxfId="286" priority="154" operator="equal">
      <formula>"Pass"</formula>
    </cfRule>
  </conditionalFormatting>
  <conditionalFormatting sqref="F115">
    <cfRule type="cellIs" dxfId="285" priority="151" operator="equal">
      <formula>"Fail"</formula>
    </cfRule>
    <cfRule type="cellIs" dxfId="284" priority="152" operator="equal">
      <formula>"Pass"</formula>
    </cfRule>
  </conditionalFormatting>
  <conditionalFormatting sqref="F116">
    <cfRule type="cellIs" dxfId="283" priority="149" operator="equal">
      <formula>"Fail"</formula>
    </cfRule>
    <cfRule type="cellIs" dxfId="282" priority="150" operator="equal">
      <formula>"Pass"</formula>
    </cfRule>
  </conditionalFormatting>
  <conditionalFormatting sqref="F117">
    <cfRule type="cellIs" dxfId="281" priority="147" operator="equal">
      <formula>"Fail"</formula>
    </cfRule>
    <cfRule type="cellIs" dxfId="280" priority="148" operator="equal">
      <formula>"Pass"</formula>
    </cfRule>
  </conditionalFormatting>
  <conditionalFormatting sqref="F118">
    <cfRule type="cellIs" dxfId="279" priority="145" operator="equal">
      <formula>"Fail"</formula>
    </cfRule>
    <cfRule type="cellIs" dxfId="278" priority="146" operator="equal">
      <formula>"Pass"</formula>
    </cfRule>
  </conditionalFormatting>
  <conditionalFormatting sqref="F119">
    <cfRule type="cellIs" dxfId="277" priority="143" operator="equal">
      <formula>"Fail"</formula>
    </cfRule>
    <cfRule type="cellIs" dxfId="276" priority="144" operator="equal">
      <formula>"Pass"</formula>
    </cfRule>
  </conditionalFormatting>
  <conditionalFormatting sqref="F120">
    <cfRule type="cellIs" dxfId="275" priority="141" operator="equal">
      <formula>"Fail"</formula>
    </cfRule>
    <cfRule type="cellIs" dxfId="274" priority="142" operator="equal">
      <formula>"Pass"</formula>
    </cfRule>
  </conditionalFormatting>
  <conditionalFormatting sqref="F121">
    <cfRule type="cellIs" dxfId="273" priority="139" operator="equal">
      <formula>"Fail"</formula>
    </cfRule>
    <cfRule type="cellIs" dxfId="272" priority="140" operator="equal">
      <formula>"Pass"</formula>
    </cfRule>
  </conditionalFormatting>
  <conditionalFormatting sqref="F122">
    <cfRule type="cellIs" dxfId="271" priority="137" operator="equal">
      <formula>"Fail"</formula>
    </cfRule>
    <cfRule type="cellIs" dxfId="270" priority="138" operator="equal">
      <formula>"Pass"</formula>
    </cfRule>
  </conditionalFormatting>
  <conditionalFormatting sqref="F123">
    <cfRule type="cellIs" dxfId="269" priority="135" operator="equal">
      <formula>"Fail"</formula>
    </cfRule>
    <cfRule type="cellIs" dxfId="268" priority="136" operator="equal">
      <formula>"Pass"</formula>
    </cfRule>
  </conditionalFormatting>
  <conditionalFormatting sqref="F124">
    <cfRule type="cellIs" dxfId="267" priority="133" operator="equal">
      <formula>"Fail"</formula>
    </cfRule>
    <cfRule type="cellIs" dxfId="266" priority="134" operator="equal">
      <formula>"Pass"</formula>
    </cfRule>
  </conditionalFormatting>
  <conditionalFormatting sqref="F125">
    <cfRule type="cellIs" dxfId="265" priority="131" operator="equal">
      <formula>"Fail"</formula>
    </cfRule>
    <cfRule type="cellIs" dxfId="264" priority="132" operator="equal">
      <formula>"Pass"</formula>
    </cfRule>
  </conditionalFormatting>
  <conditionalFormatting sqref="F126">
    <cfRule type="cellIs" dxfId="263" priority="129" operator="equal">
      <formula>"Fail"</formula>
    </cfRule>
    <cfRule type="cellIs" dxfId="262" priority="130" operator="equal">
      <formula>"Pass"</formula>
    </cfRule>
  </conditionalFormatting>
  <conditionalFormatting sqref="F127">
    <cfRule type="cellIs" dxfId="261" priority="127" operator="equal">
      <formula>"Fail"</formula>
    </cfRule>
    <cfRule type="cellIs" dxfId="260" priority="128" operator="equal">
      <formula>"Pass"</formula>
    </cfRule>
  </conditionalFormatting>
  <conditionalFormatting sqref="F128">
    <cfRule type="cellIs" dxfId="259" priority="125" operator="equal">
      <formula>"Fail"</formula>
    </cfRule>
    <cfRule type="cellIs" dxfId="258" priority="126" operator="equal">
      <formula>"Pass"</formula>
    </cfRule>
  </conditionalFormatting>
  <conditionalFormatting sqref="F129">
    <cfRule type="cellIs" dxfId="257" priority="123" operator="equal">
      <formula>"Fail"</formula>
    </cfRule>
    <cfRule type="cellIs" dxfId="256" priority="124" operator="equal">
      <formula>"Pass"</formula>
    </cfRule>
  </conditionalFormatting>
  <conditionalFormatting sqref="F130">
    <cfRule type="cellIs" dxfId="255" priority="121" operator="equal">
      <formula>"Fail"</formula>
    </cfRule>
    <cfRule type="cellIs" dxfId="254" priority="122" operator="equal">
      <formula>"Pass"</formula>
    </cfRule>
  </conditionalFormatting>
  <conditionalFormatting sqref="F131">
    <cfRule type="cellIs" dxfId="253" priority="119" operator="equal">
      <formula>"Fail"</formula>
    </cfRule>
    <cfRule type="cellIs" dxfId="252" priority="120" operator="equal">
      <formula>"Pass"</formula>
    </cfRule>
  </conditionalFormatting>
  <conditionalFormatting sqref="F132">
    <cfRule type="cellIs" dxfId="251" priority="117" operator="equal">
      <formula>"Fail"</formula>
    </cfRule>
    <cfRule type="cellIs" dxfId="250" priority="118" operator="equal">
      <formula>"Pass"</formula>
    </cfRule>
  </conditionalFormatting>
  <conditionalFormatting sqref="F133">
    <cfRule type="cellIs" dxfId="249" priority="115" operator="equal">
      <formula>"Fail"</formula>
    </cfRule>
    <cfRule type="cellIs" dxfId="248" priority="116" operator="equal">
      <formula>"Pass"</formula>
    </cfRule>
  </conditionalFormatting>
  <conditionalFormatting sqref="F134">
    <cfRule type="cellIs" dxfId="247" priority="113" operator="equal">
      <formula>"Fail"</formula>
    </cfRule>
    <cfRule type="cellIs" dxfId="246" priority="114" operator="equal">
      <formula>"Pass"</formula>
    </cfRule>
  </conditionalFormatting>
  <conditionalFormatting sqref="F135">
    <cfRule type="cellIs" dxfId="245" priority="111" operator="equal">
      <formula>"Fail"</formula>
    </cfRule>
    <cfRule type="cellIs" dxfId="244" priority="112" operator="equal">
      <formula>"Pass"</formula>
    </cfRule>
  </conditionalFormatting>
  <conditionalFormatting sqref="F136">
    <cfRule type="cellIs" dxfId="243" priority="109" operator="equal">
      <formula>"Fail"</formula>
    </cfRule>
    <cfRule type="cellIs" dxfId="242" priority="110" operator="equal">
      <formula>"Pass"</formula>
    </cfRule>
  </conditionalFormatting>
  <conditionalFormatting sqref="F137">
    <cfRule type="cellIs" dxfId="241" priority="107" operator="equal">
      <formula>"Fail"</formula>
    </cfRule>
    <cfRule type="cellIs" dxfId="240" priority="108" operator="equal">
      <formula>"Pass"</formula>
    </cfRule>
  </conditionalFormatting>
  <conditionalFormatting sqref="F141">
    <cfRule type="cellIs" dxfId="239" priority="105" operator="equal">
      <formula>"Fail"</formula>
    </cfRule>
    <cfRule type="cellIs" dxfId="238" priority="106" operator="equal">
      <formula>"Pass"</formula>
    </cfRule>
  </conditionalFormatting>
  <conditionalFormatting sqref="F142">
    <cfRule type="cellIs" dxfId="237" priority="103" operator="equal">
      <formula>"Fail"</formula>
    </cfRule>
    <cfRule type="cellIs" dxfId="236" priority="104" operator="equal">
      <formula>"Pass"</formula>
    </cfRule>
  </conditionalFormatting>
  <conditionalFormatting sqref="F143">
    <cfRule type="cellIs" dxfId="235" priority="101" operator="equal">
      <formula>"Fail"</formula>
    </cfRule>
    <cfRule type="cellIs" dxfId="234" priority="102" operator="equal">
      <formula>"Pass"</formula>
    </cfRule>
  </conditionalFormatting>
  <conditionalFormatting sqref="F144">
    <cfRule type="cellIs" dxfId="233" priority="99" operator="equal">
      <formula>"Fail"</formula>
    </cfRule>
    <cfRule type="cellIs" dxfId="232" priority="100" operator="equal">
      <formula>"Pass"</formula>
    </cfRule>
  </conditionalFormatting>
  <conditionalFormatting sqref="F145">
    <cfRule type="cellIs" dxfId="231" priority="97" operator="equal">
      <formula>"Fail"</formula>
    </cfRule>
    <cfRule type="cellIs" dxfId="230" priority="98" operator="equal">
      <formula>"Pass"</formula>
    </cfRule>
  </conditionalFormatting>
  <conditionalFormatting sqref="F146">
    <cfRule type="cellIs" dxfId="229" priority="95" operator="equal">
      <formula>"Fail"</formula>
    </cfRule>
    <cfRule type="cellIs" dxfId="228" priority="96" operator="equal">
      <formula>"Pass"</formula>
    </cfRule>
  </conditionalFormatting>
  <conditionalFormatting sqref="F147">
    <cfRule type="cellIs" dxfId="227" priority="93" operator="equal">
      <formula>"Fail"</formula>
    </cfRule>
    <cfRule type="cellIs" dxfId="226" priority="94" operator="equal">
      <formula>"Pass"</formula>
    </cfRule>
  </conditionalFormatting>
  <conditionalFormatting sqref="F148">
    <cfRule type="cellIs" dxfId="225" priority="91" operator="equal">
      <formula>"Fail"</formula>
    </cfRule>
    <cfRule type="cellIs" dxfId="224" priority="92" operator="equal">
      <formula>"Pass"</formula>
    </cfRule>
  </conditionalFormatting>
  <conditionalFormatting sqref="F149">
    <cfRule type="cellIs" dxfId="223" priority="89" operator="equal">
      <formula>"Fail"</formula>
    </cfRule>
    <cfRule type="cellIs" dxfId="222" priority="90" operator="equal">
      <formula>"Pass"</formula>
    </cfRule>
  </conditionalFormatting>
  <conditionalFormatting sqref="F150">
    <cfRule type="cellIs" dxfId="221" priority="87" operator="equal">
      <formula>"Fail"</formula>
    </cfRule>
    <cfRule type="cellIs" dxfId="220" priority="88" operator="equal">
      <formula>"Pass"</formula>
    </cfRule>
  </conditionalFormatting>
  <conditionalFormatting sqref="F151">
    <cfRule type="cellIs" dxfId="219" priority="85" operator="equal">
      <formula>"Fail"</formula>
    </cfRule>
    <cfRule type="cellIs" dxfId="218" priority="86" operator="equal">
      <formula>"Pass"</formula>
    </cfRule>
  </conditionalFormatting>
  <conditionalFormatting sqref="F152">
    <cfRule type="cellIs" dxfId="217" priority="83" operator="equal">
      <formula>"Fail"</formula>
    </cfRule>
    <cfRule type="cellIs" dxfId="216" priority="84" operator="equal">
      <formula>"Pass"</formula>
    </cfRule>
  </conditionalFormatting>
  <conditionalFormatting sqref="F153">
    <cfRule type="cellIs" dxfId="215" priority="81" operator="equal">
      <formula>"Fail"</formula>
    </cfRule>
    <cfRule type="cellIs" dxfId="214" priority="82" operator="equal">
      <formula>"Pass"</formula>
    </cfRule>
  </conditionalFormatting>
  <conditionalFormatting sqref="F154">
    <cfRule type="cellIs" dxfId="213" priority="79" operator="equal">
      <formula>"Fail"</formula>
    </cfRule>
    <cfRule type="cellIs" dxfId="212" priority="80" operator="equal">
      <formula>"Pass"</formula>
    </cfRule>
  </conditionalFormatting>
  <conditionalFormatting sqref="F155">
    <cfRule type="cellIs" dxfId="211" priority="77" operator="equal">
      <formula>"Fail"</formula>
    </cfRule>
    <cfRule type="cellIs" dxfId="210" priority="78" operator="equal">
      <formula>"Pass"</formula>
    </cfRule>
  </conditionalFormatting>
  <conditionalFormatting sqref="F156">
    <cfRule type="cellIs" dxfId="209" priority="75" operator="equal">
      <formula>"Fail"</formula>
    </cfRule>
    <cfRule type="cellIs" dxfId="208" priority="76" operator="equal">
      <formula>"Pass"</formula>
    </cfRule>
  </conditionalFormatting>
  <conditionalFormatting sqref="F157">
    <cfRule type="cellIs" dxfId="207" priority="73" operator="equal">
      <formula>"Fail"</formula>
    </cfRule>
    <cfRule type="cellIs" dxfId="206" priority="74" operator="equal">
      <formula>"Pass"</formula>
    </cfRule>
  </conditionalFormatting>
  <conditionalFormatting sqref="F158">
    <cfRule type="cellIs" dxfId="205" priority="71" operator="equal">
      <formula>"Fail"</formula>
    </cfRule>
    <cfRule type="cellIs" dxfId="204" priority="72" operator="equal">
      <formula>"Pass"</formula>
    </cfRule>
  </conditionalFormatting>
  <conditionalFormatting sqref="F159">
    <cfRule type="cellIs" dxfId="141" priority="69" operator="equal">
      <formula>"Fail"</formula>
    </cfRule>
    <cfRule type="cellIs" dxfId="140" priority="70" operator="equal">
      <formula>"Pass"</formula>
    </cfRule>
  </conditionalFormatting>
  <conditionalFormatting sqref="F160">
    <cfRule type="cellIs" dxfId="137" priority="67" operator="equal">
      <formula>"Fail"</formula>
    </cfRule>
    <cfRule type="cellIs" dxfId="136" priority="68" operator="equal">
      <formula>"Pass"</formula>
    </cfRule>
  </conditionalFormatting>
  <conditionalFormatting sqref="F161">
    <cfRule type="cellIs" dxfId="133" priority="65" operator="equal">
      <formula>"Fail"</formula>
    </cfRule>
    <cfRule type="cellIs" dxfId="132" priority="66" operator="equal">
      <formula>"Pass"</formula>
    </cfRule>
  </conditionalFormatting>
  <conditionalFormatting sqref="F162">
    <cfRule type="cellIs" dxfId="129" priority="63" operator="equal">
      <formula>"Fail"</formula>
    </cfRule>
    <cfRule type="cellIs" dxfId="128" priority="64" operator="equal">
      <formula>"Pass"</formula>
    </cfRule>
  </conditionalFormatting>
  <conditionalFormatting sqref="F163">
    <cfRule type="cellIs" dxfId="125" priority="61" operator="equal">
      <formula>"Fail"</formula>
    </cfRule>
    <cfRule type="cellIs" dxfId="124" priority="62" operator="equal">
      <formula>"Pass"</formula>
    </cfRule>
  </conditionalFormatting>
  <conditionalFormatting sqref="F164">
    <cfRule type="cellIs" dxfId="121" priority="59" operator="equal">
      <formula>"Fail"</formula>
    </cfRule>
    <cfRule type="cellIs" dxfId="120" priority="60" operator="equal">
      <formula>"Pass"</formula>
    </cfRule>
  </conditionalFormatting>
  <conditionalFormatting sqref="F165">
    <cfRule type="cellIs" dxfId="117" priority="57" operator="equal">
      <formula>"Fail"</formula>
    </cfRule>
    <cfRule type="cellIs" dxfId="116" priority="58" operator="equal">
      <formula>"Pass"</formula>
    </cfRule>
  </conditionalFormatting>
  <conditionalFormatting sqref="F166">
    <cfRule type="cellIs" dxfId="113" priority="55" operator="equal">
      <formula>"Fail"</formula>
    </cfRule>
    <cfRule type="cellIs" dxfId="112" priority="56" operator="equal">
      <formula>"Pass"</formula>
    </cfRule>
  </conditionalFormatting>
  <conditionalFormatting sqref="F167">
    <cfRule type="cellIs" dxfId="109" priority="53" operator="equal">
      <formula>"Fail"</formula>
    </cfRule>
    <cfRule type="cellIs" dxfId="108" priority="54" operator="equal">
      <formula>"Pass"</formula>
    </cfRule>
  </conditionalFormatting>
  <conditionalFormatting sqref="F168">
    <cfRule type="cellIs" dxfId="105" priority="51" operator="equal">
      <formula>"Fail"</formula>
    </cfRule>
    <cfRule type="cellIs" dxfId="104" priority="52" operator="equal">
      <formula>"Pass"</formula>
    </cfRule>
  </conditionalFormatting>
  <conditionalFormatting sqref="F169">
    <cfRule type="cellIs" dxfId="101" priority="49" operator="equal">
      <formula>"Fail"</formula>
    </cfRule>
    <cfRule type="cellIs" dxfId="100" priority="50" operator="equal">
      <formula>"Pass"</formula>
    </cfRule>
  </conditionalFormatting>
  <conditionalFormatting sqref="F170">
    <cfRule type="cellIs" dxfId="97" priority="47" operator="equal">
      <formula>"Fail"</formula>
    </cfRule>
    <cfRule type="cellIs" dxfId="96" priority="48" operator="equal">
      <formula>"Pass"</formula>
    </cfRule>
  </conditionalFormatting>
  <conditionalFormatting sqref="F171">
    <cfRule type="cellIs" dxfId="93" priority="45" operator="equal">
      <formula>"Fail"</formula>
    </cfRule>
    <cfRule type="cellIs" dxfId="92" priority="46" operator="equal">
      <formula>"Pass"</formula>
    </cfRule>
  </conditionalFormatting>
  <conditionalFormatting sqref="F172">
    <cfRule type="cellIs" dxfId="89" priority="43" operator="equal">
      <formula>"Fail"</formula>
    </cfRule>
    <cfRule type="cellIs" dxfId="88" priority="44" operator="equal">
      <formula>"Pass"</formula>
    </cfRule>
  </conditionalFormatting>
  <conditionalFormatting sqref="F173">
    <cfRule type="cellIs" dxfId="85" priority="41" operator="equal">
      <formula>"Fail"</formula>
    </cfRule>
    <cfRule type="cellIs" dxfId="84" priority="42" operator="equal">
      <formula>"Pass"</formula>
    </cfRule>
  </conditionalFormatting>
  <conditionalFormatting sqref="F175">
    <cfRule type="cellIs" dxfId="81" priority="39" operator="equal">
      <formula>"Fail"</formula>
    </cfRule>
    <cfRule type="cellIs" dxfId="80" priority="40" operator="equal">
      <formula>"Pass"</formula>
    </cfRule>
  </conditionalFormatting>
  <conditionalFormatting sqref="F176">
    <cfRule type="cellIs" dxfId="77" priority="37" operator="equal">
      <formula>"Fail"</formula>
    </cfRule>
    <cfRule type="cellIs" dxfId="76" priority="38" operator="equal">
      <formula>"Pass"</formula>
    </cfRule>
  </conditionalFormatting>
  <conditionalFormatting sqref="F177">
    <cfRule type="cellIs" dxfId="73" priority="35" operator="equal">
      <formula>"Fail"</formula>
    </cfRule>
    <cfRule type="cellIs" dxfId="72" priority="36" operator="equal">
      <formula>"Pass"</formula>
    </cfRule>
  </conditionalFormatting>
  <conditionalFormatting sqref="F178">
    <cfRule type="cellIs" dxfId="69" priority="33" operator="equal">
      <formula>"Fail"</formula>
    </cfRule>
    <cfRule type="cellIs" dxfId="68" priority="34" operator="equal">
      <formula>"Pass"</formula>
    </cfRule>
  </conditionalFormatting>
  <conditionalFormatting sqref="F179">
    <cfRule type="cellIs" dxfId="65" priority="31" operator="equal">
      <formula>"Fail"</formula>
    </cfRule>
    <cfRule type="cellIs" dxfId="64" priority="32" operator="equal">
      <formula>"Pass"</formula>
    </cfRule>
  </conditionalFormatting>
  <conditionalFormatting sqref="F180">
    <cfRule type="cellIs" dxfId="61" priority="29" operator="equal">
      <formula>"Fail"</formula>
    </cfRule>
    <cfRule type="cellIs" dxfId="60" priority="30" operator="equal">
      <formula>"Pass"</formula>
    </cfRule>
  </conditionalFormatting>
  <conditionalFormatting sqref="F181">
    <cfRule type="cellIs" dxfId="57" priority="27" operator="equal">
      <formula>"Fail"</formula>
    </cfRule>
    <cfRule type="cellIs" dxfId="56" priority="28" operator="equal">
      <formula>"Pass"</formula>
    </cfRule>
  </conditionalFormatting>
  <conditionalFormatting sqref="F182">
    <cfRule type="cellIs" dxfId="53" priority="25" operator="equal">
      <formula>"Fail"</formula>
    </cfRule>
    <cfRule type="cellIs" dxfId="52" priority="26" operator="equal">
      <formula>"Pass"</formula>
    </cfRule>
  </conditionalFormatting>
  <conditionalFormatting sqref="F183">
    <cfRule type="cellIs" dxfId="49" priority="23" operator="equal">
      <formula>"Fail"</formula>
    </cfRule>
    <cfRule type="cellIs" dxfId="48" priority="24" operator="equal">
      <formula>"Pass"</formula>
    </cfRule>
  </conditionalFormatting>
  <conditionalFormatting sqref="F184">
    <cfRule type="cellIs" dxfId="45" priority="21" operator="equal">
      <formula>"Fail"</formula>
    </cfRule>
    <cfRule type="cellIs" dxfId="44" priority="22" operator="equal">
      <formula>"Pass"</formula>
    </cfRule>
  </conditionalFormatting>
  <conditionalFormatting sqref="F185">
    <cfRule type="cellIs" dxfId="41" priority="19" operator="equal">
      <formula>"Fail"</formula>
    </cfRule>
    <cfRule type="cellIs" dxfId="40" priority="20" operator="equal">
      <formula>"Pass"</formula>
    </cfRule>
  </conditionalFormatting>
  <conditionalFormatting sqref="F186">
    <cfRule type="cellIs" dxfId="37" priority="17" operator="equal">
      <formula>"Fail"</formula>
    </cfRule>
    <cfRule type="cellIs" dxfId="36" priority="18" operator="equal">
      <formula>"Pass"</formula>
    </cfRule>
  </conditionalFormatting>
  <conditionalFormatting sqref="F187">
    <cfRule type="cellIs" dxfId="33" priority="15" operator="equal">
      <formula>"Fail"</formula>
    </cfRule>
    <cfRule type="cellIs" dxfId="32" priority="16" operator="equal">
      <formula>"Pass"</formula>
    </cfRule>
  </conditionalFormatting>
  <conditionalFormatting sqref="F188">
    <cfRule type="cellIs" dxfId="29" priority="13" operator="equal">
      <formula>"Fail"</formula>
    </cfRule>
    <cfRule type="cellIs" dxfId="28" priority="14" operator="equal">
      <formula>"Pass"</formula>
    </cfRule>
  </conditionalFormatting>
  <conditionalFormatting sqref="F189">
    <cfRule type="cellIs" dxfId="25" priority="11" operator="equal">
      <formula>"Fail"</formula>
    </cfRule>
    <cfRule type="cellIs" dxfId="24" priority="12" operator="equal">
      <formula>"Pass"</formula>
    </cfRule>
  </conditionalFormatting>
  <conditionalFormatting sqref="F190">
    <cfRule type="cellIs" dxfId="21" priority="9" operator="equal">
      <formula>"Fail"</formula>
    </cfRule>
    <cfRule type="cellIs" dxfId="20" priority="10" operator="equal">
      <formula>"Pass"</formula>
    </cfRule>
  </conditionalFormatting>
  <conditionalFormatting sqref="F191">
    <cfRule type="cellIs" dxfId="17" priority="7" operator="equal">
      <formula>"Fail"</formula>
    </cfRule>
    <cfRule type="cellIs" dxfId="16" priority="8" operator="equal">
      <formula>"Pass"</formula>
    </cfRule>
  </conditionalFormatting>
  <conditionalFormatting sqref="F174">
    <cfRule type="cellIs" dxfId="13" priority="5" operator="equal">
      <formula>"Fail"</formula>
    </cfRule>
    <cfRule type="cellIs" dxfId="12" priority="6" operator="equal">
      <formula>"Pass"</formula>
    </cfRule>
  </conditionalFormatting>
  <conditionalFormatting sqref="F192">
    <cfRule type="cellIs" dxfId="9" priority="3" operator="equal">
      <formula>"Fail"</formula>
    </cfRule>
    <cfRule type="cellIs" dxfId="8" priority="4" operator="equal">
      <formula>"Pass"</formula>
    </cfRule>
  </conditionalFormatting>
  <conditionalFormatting sqref="F193:F194">
    <cfRule type="cellIs" dxfId="3" priority="1" operator="equal">
      <formula>"Fail"</formula>
    </cfRule>
    <cfRule type="cellIs" dxfId="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251">
      <formula1>Result</formula1>
    </dataValidation>
    <dataValidation type="list" allowBlank="1" showInputMessage="1" showErrorMessage="1" sqref="E6:E251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65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23.85546875" bestFit="1" customWidth="1"/>
    <col min="7" max="7" width="15.5703125" style="60" bestFit="1" customWidth="1"/>
    <col min="8" max="8" width="22.140625" style="60" bestFit="1" customWidth="1"/>
    <col min="9" max="9" width="15.85546875" bestFit="1" customWidth="1"/>
    <col min="10" max="10" width="50.7109375" style="52" customWidth="1"/>
  </cols>
  <sheetData>
    <row r="1" spans="1:10" ht="15.75" x14ac:dyDescent="0.25">
      <c r="A1" s="2"/>
      <c r="B1" s="81" t="s">
        <v>5</v>
      </c>
      <c r="C1" s="84" t="s">
        <v>501</v>
      </c>
      <c r="D1" s="85"/>
      <c r="E1" s="1"/>
      <c r="F1" s="64" t="s">
        <v>601</v>
      </c>
      <c r="G1" s="72">
        <f>COUNTIF(F:F,"Pass")</f>
        <v>0</v>
      </c>
      <c r="H1" s="64" t="s">
        <v>602</v>
      </c>
      <c r="I1" s="72">
        <f>COUNTIF(H:H,"Pass")</f>
        <v>0</v>
      </c>
      <c r="J1" s="86"/>
    </row>
    <row r="2" spans="1:10" ht="15.75" x14ac:dyDescent="0.25">
      <c r="A2" s="2"/>
      <c r="B2" s="82"/>
      <c r="C2" s="84" t="s">
        <v>502</v>
      </c>
      <c r="D2" s="85"/>
      <c r="E2" s="1"/>
      <c r="F2" s="65" t="s">
        <v>600</v>
      </c>
      <c r="G2" s="75">
        <f>COUNTIF(F:F,"Fail")</f>
        <v>0</v>
      </c>
      <c r="H2" s="65" t="s">
        <v>600</v>
      </c>
      <c r="I2" s="75">
        <f>COUNTIF(H:H,"Fail")</f>
        <v>0</v>
      </c>
      <c r="J2" s="86"/>
    </row>
    <row r="3" spans="1:10" ht="15.75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160</v>
      </c>
      <c r="H3" s="66" t="s">
        <v>524</v>
      </c>
      <c r="I3" s="78">
        <f>COUNT(A:A)</f>
        <v>160</v>
      </c>
      <c r="J3" s="86"/>
    </row>
    <row r="4" spans="1:10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160</v>
      </c>
      <c r="H4" s="67" t="s">
        <v>525</v>
      </c>
      <c r="I4" s="80">
        <f>+I3-(I1+I2)</f>
        <v>160</v>
      </c>
      <c r="J4" s="86"/>
    </row>
    <row r="5" spans="1:10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587</v>
      </c>
      <c r="G5" s="49" t="s">
        <v>53</v>
      </c>
      <c r="H5" s="49" t="s">
        <v>588</v>
      </c>
      <c r="I5" s="49" t="s">
        <v>53</v>
      </c>
      <c r="J5" s="53" t="s">
        <v>256</v>
      </c>
    </row>
    <row r="6" spans="1:10" ht="18.75" x14ac:dyDescent="0.25">
      <c r="A6" s="14">
        <v>1</v>
      </c>
      <c r="B6" s="16" t="s">
        <v>276</v>
      </c>
      <c r="C6" s="16" t="s">
        <v>16</v>
      </c>
      <c r="D6" s="16"/>
      <c r="E6" s="17" t="s">
        <v>158</v>
      </c>
      <c r="F6" s="18"/>
      <c r="G6" s="19"/>
      <c r="H6" s="18"/>
      <c r="I6" s="19"/>
      <c r="J6" s="54"/>
    </row>
    <row r="7" spans="1:10" ht="18.75" x14ac:dyDescent="0.25">
      <c r="A7" s="14">
        <f t="shared" ref="A7:A99" si="0">+A6+1</f>
        <v>2</v>
      </c>
      <c r="B7" s="16"/>
      <c r="C7" s="16" t="s">
        <v>17</v>
      </c>
      <c r="D7" s="16"/>
      <c r="E7" s="17" t="s">
        <v>158</v>
      </c>
      <c r="F7" s="18"/>
      <c r="G7" s="19"/>
      <c r="H7" s="18"/>
      <c r="I7" s="19"/>
      <c r="J7" s="54"/>
    </row>
    <row r="8" spans="1:10" ht="18.75" x14ac:dyDescent="0.25">
      <c r="A8" s="14">
        <f t="shared" si="0"/>
        <v>3</v>
      </c>
      <c r="B8" s="16"/>
      <c r="C8" s="16" t="s">
        <v>18</v>
      </c>
      <c r="D8" s="16"/>
      <c r="E8" s="17" t="s">
        <v>158</v>
      </c>
      <c r="F8" s="18"/>
      <c r="G8" s="19"/>
      <c r="H8" s="18"/>
      <c r="I8" s="19"/>
      <c r="J8" s="54"/>
    </row>
    <row r="9" spans="1:10" ht="18.75" x14ac:dyDescent="0.25">
      <c r="A9" s="14">
        <f t="shared" si="0"/>
        <v>4</v>
      </c>
      <c r="B9" s="16"/>
      <c r="C9" s="16" t="s">
        <v>19</v>
      </c>
      <c r="D9" s="16"/>
      <c r="E9" s="17" t="s">
        <v>158</v>
      </c>
      <c r="F9" s="18"/>
      <c r="G9" s="19"/>
      <c r="H9" s="18"/>
      <c r="I9" s="19"/>
      <c r="J9" s="54"/>
    </row>
    <row r="10" spans="1:10" ht="37.5" x14ac:dyDescent="0.25">
      <c r="A10" s="14">
        <f t="shared" si="0"/>
        <v>5</v>
      </c>
      <c r="B10" s="16" t="s">
        <v>253</v>
      </c>
      <c r="C10" s="16" t="s">
        <v>433</v>
      </c>
      <c r="D10" s="16"/>
      <c r="E10" s="17" t="s">
        <v>94</v>
      </c>
      <c r="F10" s="18"/>
      <c r="G10" s="19"/>
      <c r="H10" s="18"/>
      <c r="I10" s="19"/>
      <c r="J10" s="54"/>
    </row>
    <row r="11" spans="1:10" ht="18.75" x14ac:dyDescent="0.25">
      <c r="A11" s="14">
        <f t="shared" si="0"/>
        <v>6</v>
      </c>
      <c r="B11" s="16"/>
      <c r="C11" s="16" t="s">
        <v>254</v>
      </c>
      <c r="D11" s="16"/>
      <c r="E11" s="17" t="s">
        <v>91</v>
      </c>
      <c r="F11" s="18"/>
      <c r="G11" s="19"/>
      <c r="H11" s="18"/>
      <c r="I11" s="19"/>
      <c r="J11" s="54"/>
    </row>
    <row r="12" spans="1:10" ht="37.5" x14ac:dyDescent="0.25">
      <c r="A12" s="14">
        <f t="shared" si="0"/>
        <v>7</v>
      </c>
      <c r="B12" s="16" t="s">
        <v>255</v>
      </c>
      <c r="C12" s="16" t="s">
        <v>106</v>
      </c>
      <c r="D12" s="16"/>
      <c r="E12" s="17" t="s">
        <v>89</v>
      </c>
      <c r="F12" s="18"/>
      <c r="G12" s="19"/>
      <c r="H12" s="18"/>
      <c r="I12" s="19"/>
      <c r="J12" s="54"/>
    </row>
    <row r="13" spans="1:10" ht="18.75" x14ac:dyDescent="0.25">
      <c r="A13" s="14">
        <f t="shared" si="0"/>
        <v>8</v>
      </c>
      <c r="B13" s="16"/>
      <c r="C13" s="16" t="s">
        <v>108</v>
      </c>
      <c r="D13" s="16"/>
      <c r="E13" s="17" t="s">
        <v>89</v>
      </c>
      <c r="F13" s="18"/>
      <c r="G13" s="19"/>
      <c r="H13" s="18"/>
      <c r="I13" s="19"/>
      <c r="J13" s="54"/>
    </row>
    <row r="14" spans="1:10" ht="18.75" x14ac:dyDescent="0.25">
      <c r="A14" s="14">
        <f t="shared" si="0"/>
        <v>9</v>
      </c>
      <c r="B14" s="16"/>
      <c r="C14" s="16" t="s">
        <v>109</v>
      </c>
      <c r="D14" s="16"/>
      <c r="E14" s="17" t="s">
        <v>89</v>
      </c>
      <c r="F14" s="18"/>
      <c r="G14" s="19"/>
      <c r="H14" s="18"/>
      <c r="I14" s="19"/>
      <c r="J14" s="54"/>
    </row>
    <row r="15" spans="1:10" ht="18.75" x14ac:dyDescent="0.25">
      <c r="A15" s="14">
        <f t="shared" si="0"/>
        <v>10</v>
      </c>
      <c r="B15" s="16"/>
      <c r="C15" s="16" t="s">
        <v>256</v>
      </c>
      <c r="D15" s="16"/>
      <c r="E15" s="17" t="s">
        <v>89</v>
      </c>
      <c r="F15" s="18"/>
      <c r="G15" s="19"/>
      <c r="H15" s="18"/>
      <c r="I15" s="19"/>
      <c r="J15" s="54"/>
    </row>
    <row r="16" spans="1:10" ht="18.75" x14ac:dyDescent="0.25">
      <c r="A16" s="14">
        <f t="shared" si="0"/>
        <v>11</v>
      </c>
      <c r="B16" s="16"/>
      <c r="C16" s="16" t="s">
        <v>115</v>
      </c>
      <c r="D16" s="16"/>
      <c r="E16" s="17" t="s">
        <v>90</v>
      </c>
      <c r="F16" s="18"/>
      <c r="G16" s="19"/>
      <c r="H16" s="18"/>
      <c r="I16" s="19"/>
      <c r="J16" s="54"/>
    </row>
    <row r="17" spans="1:10" ht="18.75" x14ac:dyDescent="0.25">
      <c r="A17" s="14">
        <f t="shared" si="0"/>
        <v>12</v>
      </c>
      <c r="B17" s="16"/>
      <c r="C17" s="16" t="s">
        <v>111</v>
      </c>
      <c r="D17" s="16"/>
      <c r="E17" s="17" t="s">
        <v>116</v>
      </c>
      <c r="F17" s="18"/>
      <c r="G17" s="19"/>
      <c r="H17" s="18"/>
      <c r="I17" s="19"/>
      <c r="J17" s="54"/>
    </row>
    <row r="18" spans="1:10" ht="18.75" x14ac:dyDescent="0.25">
      <c r="A18" s="14">
        <f t="shared" si="0"/>
        <v>13</v>
      </c>
      <c r="B18" s="16"/>
      <c r="C18" s="16"/>
      <c r="D18" s="16" t="s">
        <v>126</v>
      </c>
      <c r="E18" s="17" t="s">
        <v>90</v>
      </c>
      <c r="F18" s="18"/>
      <c r="G18" s="19"/>
      <c r="H18" s="18"/>
      <c r="I18" s="19"/>
      <c r="J18" s="54"/>
    </row>
    <row r="19" spans="1:10" ht="18.75" x14ac:dyDescent="0.25">
      <c r="A19" s="14">
        <f t="shared" si="0"/>
        <v>14</v>
      </c>
      <c r="B19" s="16"/>
      <c r="C19" s="16"/>
      <c r="D19" s="16" t="s">
        <v>127</v>
      </c>
      <c r="E19" s="17" t="s">
        <v>90</v>
      </c>
      <c r="F19" s="18"/>
      <c r="G19" s="19"/>
      <c r="H19" s="18"/>
      <c r="I19" s="19"/>
      <c r="J19" s="54"/>
    </row>
    <row r="20" spans="1:10" ht="18.75" x14ac:dyDescent="0.25">
      <c r="A20" s="14">
        <f t="shared" si="0"/>
        <v>15</v>
      </c>
      <c r="B20" s="16"/>
      <c r="C20" s="16" t="s">
        <v>101</v>
      </c>
      <c r="D20" s="16"/>
      <c r="E20" s="17" t="s">
        <v>150</v>
      </c>
      <c r="F20" s="18"/>
      <c r="G20" s="19"/>
      <c r="H20" s="18"/>
      <c r="I20" s="19"/>
      <c r="J20" s="54"/>
    </row>
    <row r="21" spans="1:10" s="57" customFormat="1" ht="18.75" x14ac:dyDescent="0.25">
      <c r="A21" s="14">
        <f t="shared" si="0"/>
        <v>16</v>
      </c>
      <c r="B21" s="16"/>
      <c r="C21" s="16" t="s">
        <v>547</v>
      </c>
      <c r="D21" s="16"/>
      <c r="E21" s="17" t="s">
        <v>150</v>
      </c>
      <c r="F21" s="18"/>
      <c r="G21" s="19"/>
      <c r="H21" s="18"/>
      <c r="I21" s="19"/>
      <c r="J21" s="54"/>
    </row>
    <row r="22" spans="1:10" ht="18.75" x14ac:dyDescent="0.25">
      <c r="A22" s="14">
        <f t="shared" si="0"/>
        <v>17</v>
      </c>
      <c r="B22" s="16"/>
      <c r="C22" s="16" t="s">
        <v>53</v>
      </c>
      <c r="D22" s="16"/>
      <c r="E22" s="17" t="s">
        <v>150</v>
      </c>
      <c r="F22" s="18"/>
      <c r="G22" s="19"/>
      <c r="H22" s="18"/>
      <c r="I22" s="19"/>
      <c r="J22" s="54"/>
    </row>
    <row r="23" spans="1:10" ht="18.75" x14ac:dyDescent="0.25">
      <c r="A23" s="14">
        <f t="shared" si="0"/>
        <v>18</v>
      </c>
      <c r="B23" s="16"/>
      <c r="C23" s="16" t="s">
        <v>129</v>
      </c>
      <c r="D23" s="16"/>
      <c r="E23" s="17" t="s">
        <v>150</v>
      </c>
      <c r="F23" s="18"/>
      <c r="G23" s="19"/>
      <c r="H23" s="18"/>
      <c r="I23" s="19"/>
      <c r="J23" s="54"/>
    </row>
    <row r="24" spans="1:10" ht="18.75" x14ac:dyDescent="0.25">
      <c r="A24" s="14">
        <f t="shared" si="0"/>
        <v>19</v>
      </c>
      <c r="B24" s="16"/>
      <c r="C24" s="16" t="s">
        <v>143</v>
      </c>
      <c r="D24" s="16"/>
      <c r="E24" s="17" t="s">
        <v>150</v>
      </c>
      <c r="F24" s="18"/>
      <c r="G24" s="19"/>
      <c r="H24" s="18"/>
      <c r="I24" s="19"/>
      <c r="J24" s="54"/>
    </row>
    <row r="25" spans="1:10" ht="18.75" x14ac:dyDescent="0.25">
      <c r="A25" s="14">
        <f t="shared" si="0"/>
        <v>20</v>
      </c>
      <c r="B25" s="16"/>
      <c r="C25" s="16" t="s">
        <v>144</v>
      </c>
      <c r="D25" s="16"/>
      <c r="E25" s="17" t="s">
        <v>150</v>
      </c>
      <c r="F25" s="18"/>
      <c r="G25" s="19"/>
      <c r="H25" s="18"/>
      <c r="I25" s="19"/>
      <c r="J25" s="54"/>
    </row>
    <row r="26" spans="1:10" ht="18.75" x14ac:dyDescent="0.25">
      <c r="A26" s="14">
        <f t="shared" si="0"/>
        <v>21</v>
      </c>
      <c r="B26" s="16"/>
      <c r="C26" s="16" t="s">
        <v>145</v>
      </c>
      <c r="D26" s="16"/>
      <c r="E26" s="17" t="s">
        <v>150</v>
      </c>
      <c r="F26" s="18"/>
      <c r="G26" s="19"/>
      <c r="H26" s="18"/>
      <c r="I26" s="19"/>
      <c r="J26" s="54"/>
    </row>
    <row r="27" spans="1:10" ht="18.75" x14ac:dyDescent="0.25">
      <c r="A27" s="14">
        <f t="shared" si="0"/>
        <v>22</v>
      </c>
      <c r="B27" s="16"/>
      <c r="C27" s="16" t="s">
        <v>120</v>
      </c>
      <c r="D27" s="16"/>
      <c r="E27" s="17" t="s">
        <v>150</v>
      </c>
      <c r="F27" s="18"/>
      <c r="G27" s="19"/>
      <c r="H27" s="18"/>
      <c r="I27" s="19"/>
      <c r="J27" s="54"/>
    </row>
    <row r="28" spans="1:10" ht="18.75" x14ac:dyDescent="0.25">
      <c r="A28" s="14">
        <f t="shared" si="0"/>
        <v>23</v>
      </c>
      <c r="B28" s="16"/>
      <c r="C28" s="16" t="s">
        <v>146</v>
      </c>
      <c r="D28" s="16"/>
      <c r="E28" s="17" t="s">
        <v>150</v>
      </c>
      <c r="F28" s="18"/>
      <c r="G28" s="19"/>
      <c r="H28" s="18"/>
      <c r="I28" s="19"/>
      <c r="J28" s="54"/>
    </row>
    <row r="29" spans="1:10" ht="18.75" x14ac:dyDescent="0.25">
      <c r="A29" s="14">
        <f t="shared" si="0"/>
        <v>24</v>
      </c>
      <c r="B29" s="16"/>
      <c r="C29" s="16" t="s">
        <v>147</v>
      </c>
      <c r="D29" s="16"/>
      <c r="E29" s="17" t="s">
        <v>150</v>
      </c>
      <c r="F29" s="18"/>
      <c r="G29" s="19"/>
      <c r="H29" s="18"/>
      <c r="I29" s="19"/>
      <c r="J29" s="54"/>
    </row>
    <row r="30" spans="1:10" ht="18.75" x14ac:dyDescent="0.25">
      <c r="A30" s="14">
        <f t="shared" si="0"/>
        <v>25</v>
      </c>
      <c r="B30" s="16"/>
      <c r="C30" s="16" t="s">
        <v>148</v>
      </c>
      <c r="D30" s="16"/>
      <c r="E30" s="17" t="s">
        <v>150</v>
      </c>
      <c r="F30" s="18"/>
      <c r="G30" s="19"/>
      <c r="H30" s="18"/>
      <c r="I30" s="19"/>
      <c r="J30" s="54"/>
    </row>
    <row r="31" spans="1:10" ht="18.75" x14ac:dyDescent="0.25">
      <c r="A31" s="14">
        <f t="shared" si="0"/>
        <v>26</v>
      </c>
      <c r="B31" s="16"/>
      <c r="C31" s="16" t="s">
        <v>149</v>
      </c>
      <c r="D31" s="16"/>
      <c r="E31" s="17" t="s">
        <v>150</v>
      </c>
      <c r="F31" s="18"/>
      <c r="G31" s="19"/>
      <c r="H31" s="18"/>
      <c r="I31" s="19"/>
      <c r="J31" s="54"/>
    </row>
    <row r="32" spans="1:10" ht="18.75" x14ac:dyDescent="0.25">
      <c r="A32" s="14">
        <f t="shared" si="0"/>
        <v>27</v>
      </c>
      <c r="B32" s="16"/>
      <c r="C32" s="16" t="s">
        <v>116</v>
      </c>
      <c r="D32" s="16"/>
      <c r="E32" s="17" t="s">
        <v>150</v>
      </c>
      <c r="F32" s="18"/>
      <c r="G32" s="19"/>
      <c r="H32" s="18"/>
      <c r="I32" s="19"/>
      <c r="J32" s="54"/>
    </row>
    <row r="33" spans="1:10" ht="18.75" x14ac:dyDescent="0.25">
      <c r="A33" s="14">
        <f t="shared" si="0"/>
        <v>28</v>
      </c>
      <c r="B33" s="16"/>
      <c r="C33" s="16" t="s">
        <v>112</v>
      </c>
      <c r="D33" s="16"/>
      <c r="E33" s="17" t="s">
        <v>89</v>
      </c>
      <c r="F33" s="18"/>
      <c r="G33" s="19"/>
      <c r="H33" s="18"/>
      <c r="I33" s="19"/>
      <c r="J33" s="54"/>
    </row>
    <row r="34" spans="1:10" ht="18.75" x14ac:dyDescent="0.25">
      <c r="A34" s="14">
        <f t="shared" si="0"/>
        <v>29</v>
      </c>
      <c r="B34" s="16"/>
      <c r="C34" s="16" t="s">
        <v>113</v>
      </c>
      <c r="D34" s="16"/>
      <c r="E34" s="17" t="s">
        <v>117</v>
      </c>
      <c r="F34" s="18"/>
      <c r="G34" s="19"/>
      <c r="H34" s="18"/>
      <c r="I34" s="19"/>
      <c r="J34" s="54"/>
    </row>
    <row r="35" spans="1:10" ht="18.75" x14ac:dyDescent="0.25">
      <c r="A35" s="14">
        <f t="shared" si="0"/>
        <v>30</v>
      </c>
      <c r="B35" s="16"/>
      <c r="C35" s="16" t="s">
        <v>136</v>
      </c>
      <c r="D35" s="16"/>
      <c r="E35" s="17" t="s">
        <v>101</v>
      </c>
      <c r="F35" s="18"/>
      <c r="G35" s="19"/>
      <c r="H35" s="18"/>
      <c r="I35" s="19"/>
      <c r="J35" s="54"/>
    </row>
    <row r="36" spans="1:10" ht="18.75" x14ac:dyDescent="0.25">
      <c r="A36" s="14">
        <f t="shared" si="0"/>
        <v>31</v>
      </c>
      <c r="B36" s="16"/>
      <c r="C36" s="16"/>
      <c r="D36" s="16" t="s">
        <v>131</v>
      </c>
      <c r="E36" s="17" t="s">
        <v>90</v>
      </c>
      <c r="F36" s="18"/>
      <c r="G36" s="19"/>
      <c r="H36" s="18"/>
      <c r="I36" s="19"/>
      <c r="J36" s="54"/>
    </row>
    <row r="37" spans="1:10" ht="18.75" x14ac:dyDescent="0.25">
      <c r="A37" s="14">
        <f t="shared" si="0"/>
        <v>32</v>
      </c>
      <c r="B37" s="16"/>
      <c r="C37" s="16"/>
      <c r="D37" s="16" t="s">
        <v>135</v>
      </c>
      <c r="E37" s="17" t="s">
        <v>90</v>
      </c>
      <c r="F37" s="18"/>
      <c r="G37" s="19"/>
      <c r="H37" s="18"/>
      <c r="I37" s="19"/>
      <c r="J37" s="54"/>
    </row>
    <row r="38" spans="1:10" ht="18.75" x14ac:dyDescent="0.25">
      <c r="A38" s="14">
        <f t="shared" si="0"/>
        <v>33</v>
      </c>
      <c r="B38" s="16"/>
      <c r="C38" s="16" t="s">
        <v>114</v>
      </c>
      <c r="D38" s="16"/>
      <c r="E38" s="17" t="s">
        <v>89</v>
      </c>
      <c r="F38" s="18"/>
      <c r="G38" s="19"/>
      <c r="H38" s="18"/>
      <c r="I38" s="19"/>
      <c r="J38" s="54"/>
    </row>
    <row r="39" spans="1:10" ht="18.75" x14ac:dyDescent="0.25">
      <c r="A39" s="14">
        <f t="shared" si="0"/>
        <v>34</v>
      </c>
      <c r="B39" s="16"/>
      <c r="C39" s="16" t="s">
        <v>104</v>
      </c>
      <c r="D39" s="16"/>
      <c r="E39" s="17" t="s">
        <v>90</v>
      </c>
      <c r="F39" s="18"/>
      <c r="G39" s="19"/>
      <c r="H39" s="18"/>
      <c r="I39" s="19"/>
      <c r="J39" s="54"/>
    </row>
    <row r="40" spans="1:10" ht="18.75" x14ac:dyDescent="0.25">
      <c r="A40" s="14">
        <f t="shared" si="0"/>
        <v>35</v>
      </c>
      <c r="B40" s="16"/>
      <c r="C40" s="16" t="s">
        <v>105</v>
      </c>
      <c r="D40" s="16"/>
      <c r="E40" s="17" t="s">
        <v>90</v>
      </c>
      <c r="F40" s="18"/>
      <c r="G40" s="19"/>
      <c r="H40" s="18"/>
      <c r="I40" s="19"/>
      <c r="J40" s="54"/>
    </row>
    <row r="41" spans="1:10" s="60" customFormat="1" ht="18.75" x14ac:dyDescent="0.25">
      <c r="A41" s="14">
        <f t="shared" si="0"/>
        <v>36</v>
      </c>
      <c r="B41" s="61"/>
      <c r="C41" s="61" t="s">
        <v>550</v>
      </c>
      <c r="D41" s="61"/>
      <c r="E41" s="17" t="s">
        <v>123</v>
      </c>
      <c r="F41" s="18"/>
      <c r="G41" s="19"/>
      <c r="H41" s="18"/>
      <c r="I41" s="19"/>
      <c r="J41" s="54"/>
    </row>
    <row r="42" spans="1:10" s="60" customFormat="1" ht="18.75" x14ac:dyDescent="0.25">
      <c r="A42" s="14">
        <f t="shared" si="0"/>
        <v>37</v>
      </c>
      <c r="B42" s="61"/>
      <c r="C42" s="61"/>
      <c r="D42" s="61" t="s">
        <v>169</v>
      </c>
      <c r="E42" s="17" t="s">
        <v>123</v>
      </c>
      <c r="F42" s="18"/>
      <c r="G42" s="19"/>
      <c r="H42" s="18"/>
      <c r="I42" s="19"/>
      <c r="J42" s="54"/>
    </row>
    <row r="43" spans="1:10" s="60" customFormat="1" ht="18.75" x14ac:dyDescent="0.25">
      <c r="A43" s="14">
        <f t="shared" si="0"/>
        <v>38</v>
      </c>
      <c r="B43" s="61"/>
      <c r="C43" s="61"/>
      <c r="D43" s="61" t="s">
        <v>170</v>
      </c>
      <c r="E43" s="17" t="s">
        <v>123</v>
      </c>
      <c r="F43" s="18"/>
      <c r="G43" s="19"/>
      <c r="H43" s="18"/>
      <c r="I43" s="19"/>
      <c r="J43" s="54"/>
    </row>
    <row r="44" spans="1:10" s="60" customFormat="1" ht="18.75" x14ac:dyDescent="0.25">
      <c r="A44" s="14">
        <f t="shared" si="0"/>
        <v>39</v>
      </c>
      <c r="B44" s="61"/>
      <c r="C44" s="61"/>
      <c r="D44" s="61" t="s">
        <v>171</v>
      </c>
      <c r="E44" s="17" t="s">
        <v>123</v>
      </c>
      <c r="F44" s="18"/>
      <c r="G44" s="19"/>
      <c r="H44" s="18"/>
      <c r="I44" s="19"/>
      <c r="J44" s="54"/>
    </row>
    <row r="45" spans="1:10" s="60" customFormat="1" ht="18.75" x14ac:dyDescent="0.25">
      <c r="A45" s="14">
        <f t="shared" si="0"/>
        <v>40</v>
      </c>
      <c r="B45" s="61"/>
      <c r="C45" s="61"/>
      <c r="D45" s="61" t="s">
        <v>18</v>
      </c>
      <c r="E45" s="17" t="s">
        <v>123</v>
      </c>
      <c r="F45" s="18"/>
      <c r="G45" s="19"/>
      <c r="H45" s="18"/>
      <c r="I45" s="19"/>
      <c r="J45" s="54"/>
    </row>
    <row r="46" spans="1:10" s="60" customFormat="1" ht="18.75" x14ac:dyDescent="0.25">
      <c r="A46" s="14">
        <f t="shared" si="0"/>
        <v>41</v>
      </c>
      <c r="B46" s="61"/>
      <c r="C46" s="61"/>
      <c r="D46" s="61" t="s">
        <v>172</v>
      </c>
      <c r="E46" s="17" t="s">
        <v>123</v>
      </c>
      <c r="F46" s="18"/>
      <c r="G46" s="19"/>
      <c r="H46" s="18"/>
      <c r="I46" s="19"/>
      <c r="J46" s="54"/>
    </row>
    <row r="47" spans="1:10" s="60" customFormat="1" ht="18.75" x14ac:dyDescent="0.25">
      <c r="A47" s="14">
        <f t="shared" si="0"/>
        <v>42</v>
      </c>
      <c r="B47" s="61"/>
      <c r="C47" s="61"/>
      <c r="D47" s="61" t="s">
        <v>173</v>
      </c>
      <c r="E47" s="17" t="s">
        <v>123</v>
      </c>
      <c r="F47" s="18"/>
      <c r="G47" s="19"/>
      <c r="H47" s="18"/>
      <c r="I47" s="19"/>
      <c r="J47" s="54"/>
    </row>
    <row r="48" spans="1:10" s="60" customFormat="1" ht="18.75" x14ac:dyDescent="0.25">
      <c r="A48" s="14">
        <f t="shared" si="0"/>
        <v>43</v>
      </c>
      <c r="B48" s="61"/>
      <c r="C48" s="61"/>
      <c r="D48" s="61" t="s">
        <v>174</v>
      </c>
      <c r="E48" s="17" t="s">
        <v>123</v>
      </c>
      <c r="F48" s="18"/>
      <c r="G48" s="19"/>
      <c r="H48" s="18"/>
      <c r="I48" s="19"/>
      <c r="J48" s="54"/>
    </row>
    <row r="49" spans="1:10" s="60" customFormat="1" ht="18.75" x14ac:dyDescent="0.25">
      <c r="A49" s="14">
        <f t="shared" si="0"/>
        <v>44</v>
      </c>
      <c r="B49" s="61"/>
      <c r="C49" s="61"/>
      <c r="D49" s="61" t="s">
        <v>175</v>
      </c>
      <c r="E49" s="17" t="s">
        <v>123</v>
      </c>
      <c r="F49" s="18"/>
      <c r="G49" s="19"/>
      <c r="H49" s="18"/>
      <c r="I49" s="19"/>
      <c r="J49" s="54"/>
    </row>
    <row r="50" spans="1:10" s="60" customFormat="1" ht="37.5" x14ac:dyDescent="0.25">
      <c r="A50" s="14">
        <f t="shared" si="0"/>
        <v>45</v>
      </c>
      <c r="B50" s="61"/>
      <c r="C50" s="61"/>
      <c r="D50" s="61" t="s">
        <v>176</v>
      </c>
      <c r="E50" s="17" t="s">
        <v>123</v>
      </c>
      <c r="F50" s="18"/>
      <c r="G50" s="19"/>
      <c r="H50" s="18"/>
      <c r="I50" s="19"/>
      <c r="J50" s="54"/>
    </row>
    <row r="51" spans="1:10" s="60" customFormat="1" ht="18.75" x14ac:dyDescent="0.25">
      <c r="A51" s="14">
        <f t="shared" si="0"/>
        <v>46</v>
      </c>
      <c r="B51" s="61"/>
      <c r="C51" s="61"/>
      <c r="D51" s="61" t="s">
        <v>177</v>
      </c>
      <c r="E51" s="17" t="s">
        <v>123</v>
      </c>
      <c r="F51" s="18"/>
      <c r="G51" s="19"/>
      <c r="H51" s="18"/>
      <c r="I51" s="19"/>
      <c r="J51" s="54"/>
    </row>
    <row r="52" spans="1:10" s="60" customFormat="1" ht="18.75" x14ac:dyDescent="0.25">
      <c r="A52" s="14">
        <f t="shared" si="0"/>
        <v>47</v>
      </c>
      <c r="B52" s="61"/>
      <c r="C52" s="61"/>
      <c r="D52" s="61" t="s">
        <v>552</v>
      </c>
      <c r="E52" s="17" t="s">
        <v>123</v>
      </c>
      <c r="F52" s="18"/>
      <c r="G52" s="19"/>
      <c r="H52" s="18"/>
      <c r="I52" s="19"/>
      <c r="J52" s="54"/>
    </row>
    <row r="53" spans="1:10" s="60" customFormat="1" ht="18.75" x14ac:dyDescent="0.25">
      <c r="A53" s="14">
        <f t="shared" si="0"/>
        <v>48</v>
      </c>
      <c r="B53" s="61"/>
      <c r="C53" s="61" t="s">
        <v>551</v>
      </c>
      <c r="D53" s="61"/>
      <c r="E53" s="17" t="s">
        <v>116</v>
      </c>
      <c r="F53" s="18"/>
      <c r="G53" s="19"/>
      <c r="H53" s="18"/>
      <c r="I53" s="19"/>
      <c r="J53" s="54"/>
    </row>
    <row r="54" spans="1:10" s="57" customFormat="1" ht="18.75" x14ac:dyDescent="0.25">
      <c r="A54" s="14">
        <f t="shared" si="0"/>
        <v>49</v>
      </c>
      <c r="B54" s="16"/>
      <c r="C54" s="61" t="s">
        <v>165</v>
      </c>
      <c r="D54" s="16" t="s">
        <v>562</v>
      </c>
      <c r="E54" s="17" t="s">
        <v>549</v>
      </c>
      <c r="F54" s="18"/>
      <c r="G54" s="19"/>
      <c r="H54" s="18"/>
      <c r="I54" s="19"/>
      <c r="J54" s="54"/>
    </row>
    <row r="55" spans="1:10" s="57" customFormat="1" ht="18.75" x14ac:dyDescent="0.25">
      <c r="A55" s="14">
        <f t="shared" si="0"/>
        <v>50</v>
      </c>
      <c r="B55" s="16"/>
      <c r="C55" s="16"/>
      <c r="D55" s="16" t="s">
        <v>559</v>
      </c>
      <c r="E55" s="17" t="s">
        <v>549</v>
      </c>
      <c r="F55" s="18"/>
      <c r="G55" s="19"/>
      <c r="H55" s="18"/>
      <c r="I55" s="19"/>
      <c r="J55" s="54"/>
    </row>
    <row r="56" spans="1:10" s="57" customFormat="1" ht="18.75" x14ac:dyDescent="0.25">
      <c r="A56" s="14">
        <f t="shared" si="0"/>
        <v>51</v>
      </c>
      <c r="B56" s="16"/>
      <c r="C56" s="16"/>
      <c r="D56" s="16" t="s">
        <v>560</v>
      </c>
      <c r="E56" s="17" t="s">
        <v>549</v>
      </c>
      <c r="F56" s="18"/>
      <c r="G56" s="19"/>
      <c r="H56" s="18"/>
      <c r="I56" s="19"/>
      <c r="J56" s="54"/>
    </row>
    <row r="57" spans="1:10" s="57" customFormat="1" ht="18.75" x14ac:dyDescent="0.25">
      <c r="A57" s="14">
        <f t="shared" si="0"/>
        <v>52</v>
      </c>
      <c r="B57" s="16"/>
      <c r="C57" s="16"/>
      <c r="D57" s="16" t="s">
        <v>561</v>
      </c>
      <c r="E57" s="17" t="s">
        <v>549</v>
      </c>
      <c r="F57" s="18"/>
      <c r="G57" s="19"/>
      <c r="H57" s="18"/>
      <c r="I57" s="19"/>
      <c r="J57" s="54"/>
    </row>
    <row r="58" spans="1:10" s="57" customFormat="1" ht="18.75" x14ac:dyDescent="0.25">
      <c r="A58" s="14">
        <f t="shared" si="0"/>
        <v>53</v>
      </c>
      <c r="B58" s="16"/>
      <c r="C58" s="16"/>
      <c r="D58" s="16" t="s">
        <v>169</v>
      </c>
      <c r="E58" s="17" t="s">
        <v>91</v>
      </c>
      <c r="F58" s="18"/>
      <c r="G58" s="19"/>
      <c r="H58" s="18"/>
      <c r="I58" s="19"/>
      <c r="J58" s="54"/>
    </row>
    <row r="59" spans="1:10" s="57" customFormat="1" ht="18.75" x14ac:dyDescent="0.25">
      <c r="A59" s="14">
        <f t="shared" si="0"/>
        <v>54</v>
      </c>
      <c r="B59" s="16"/>
      <c r="C59" s="16"/>
      <c r="D59" s="16" t="s">
        <v>170</v>
      </c>
      <c r="E59" s="17" t="s">
        <v>91</v>
      </c>
      <c r="F59" s="18"/>
      <c r="G59" s="19"/>
      <c r="H59" s="18"/>
      <c r="I59" s="19"/>
      <c r="J59" s="54"/>
    </row>
    <row r="60" spans="1:10" s="57" customFormat="1" ht="18.75" x14ac:dyDescent="0.25">
      <c r="A60" s="14">
        <f t="shared" si="0"/>
        <v>55</v>
      </c>
      <c r="B60" s="16"/>
      <c r="C60" s="16"/>
      <c r="D60" s="16" t="s">
        <v>171</v>
      </c>
      <c r="E60" s="17" t="s">
        <v>91</v>
      </c>
      <c r="F60" s="18"/>
      <c r="G60" s="19"/>
      <c r="H60" s="18"/>
      <c r="I60" s="19"/>
      <c r="J60" s="54"/>
    </row>
    <row r="61" spans="1:10" s="57" customFormat="1" ht="18.75" x14ac:dyDescent="0.25">
      <c r="A61" s="14">
        <f t="shared" si="0"/>
        <v>56</v>
      </c>
      <c r="B61" s="16"/>
      <c r="C61" s="16"/>
      <c r="D61" s="16" t="s">
        <v>172</v>
      </c>
      <c r="E61" s="17" t="s">
        <v>91</v>
      </c>
      <c r="F61" s="18"/>
      <c r="G61" s="19"/>
      <c r="H61" s="18"/>
      <c r="I61" s="19"/>
      <c r="J61" s="54"/>
    </row>
    <row r="62" spans="1:10" s="57" customFormat="1" ht="18.75" x14ac:dyDescent="0.25">
      <c r="A62" s="14">
        <f t="shared" si="0"/>
        <v>57</v>
      </c>
      <c r="B62" s="16"/>
      <c r="C62" s="16" t="s">
        <v>553</v>
      </c>
      <c r="D62" s="16" t="s">
        <v>199</v>
      </c>
      <c r="E62" s="17" t="s">
        <v>150</v>
      </c>
      <c r="F62" s="18"/>
      <c r="G62" s="19"/>
      <c r="H62" s="18"/>
      <c r="I62" s="19"/>
      <c r="J62" s="54"/>
    </row>
    <row r="63" spans="1:10" s="57" customFormat="1" ht="18.75" x14ac:dyDescent="0.25">
      <c r="A63" s="14">
        <f t="shared" si="0"/>
        <v>58</v>
      </c>
      <c r="B63" s="16"/>
      <c r="C63" s="16"/>
      <c r="D63" s="16" t="s">
        <v>272</v>
      </c>
      <c r="E63" s="17" t="s">
        <v>150</v>
      </c>
      <c r="F63" s="18"/>
      <c r="G63" s="19"/>
      <c r="H63" s="18"/>
      <c r="I63" s="19"/>
      <c r="J63" s="54"/>
    </row>
    <row r="64" spans="1:10" s="57" customFormat="1" ht="18.75" x14ac:dyDescent="0.25">
      <c r="A64" s="14">
        <f t="shared" si="0"/>
        <v>59</v>
      </c>
      <c r="B64" s="16"/>
      <c r="C64" s="16"/>
      <c r="D64" s="16" t="s">
        <v>200</v>
      </c>
      <c r="E64" s="17" t="s">
        <v>150</v>
      </c>
      <c r="F64" s="18"/>
      <c r="G64" s="19"/>
      <c r="H64" s="18"/>
      <c r="I64" s="19"/>
      <c r="J64" s="54"/>
    </row>
    <row r="65" spans="1:10" s="60" customFormat="1" ht="18.75" x14ac:dyDescent="0.25">
      <c r="A65" s="14">
        <f t="shared" si="0"/>
        <v>60</v>
      </c>
      <c r="B65" s="61"/>
      <c r="C65" s="61" t="s">
        <v>128</v>
      </c>
      <c r="D65" s="61"/>
      <c r="E65" s="17" t="s">
        <v>150</v>
      </c>
      <c r="F65" s="18"/>
      <c r="G65" s="19"/>
      <c r="H65" s="18"/>
      <c r="I65" s="19"/>
      <c r="J65" s="54"/>
    </row>
    <row r="66" spans="1:10" s="60" customFormat="1" ht="18.75" x14ac:dyDescent="0.25">
      <c r="A66" s="14">
        <f t="shared" si="0"/>
        <v>61</v>
      </c>
      <c r="B66" s="61"/>
      <c r="C66" s="61" t="s">
        <v>130</v>
      </c>
      <c r="D66" s="61"/>
      <c r="E66" s="17" t="s">
        <v>150</v>
      </c>
      <c r="F66" s="18"/>
      <c r="G66" s="19"/>
      <c r="H66" s="18"/>
      <c r="I66" s="19"/>
      <c r="J66" s="54"/>
    </row>
    <row r="67" spans="1:10" s="60" customFormat="1" ht="18.75" x14ac:dyDescent="0.25">
      <c r="A67" s="14">
        <f t="shared" si="0"/>
        <v>62</v>
      </c>
      <c r="B67" s="61"/>
      <c r="C67" s="61" t="s">
        <v>137</v>
      </c>
      <c r="D67" s="61"/>
      <c r="E67" s="17" t="s">
        <v>150</v>
      </c>
      <c r="F67" s="18"/>
      <c r="G67" s="19"/>
      <c r="H67" s="18"/>
      <c r="I67" s="19"/>
      <c r="J67" s="54"/>
    </row>
    <row r="68" spans="1:10" ht="37.5" x14ac:dyDescent="0.25">
      <c r="A68" s="14">
        <f t="shared" si="0"/>
        <v>63</v>
      </c>
      <c r="B68" s="16" t="s">
        <v>265</v>
      </c>
      <c r="C68" s="16" t="s">
        <v>433</v>
      </c>
      <c r="D68" s="16"/>
      <c r="E68" s="17" t="s">
        <v>94</v>
      </c>
      <c r="F68" s="18"/>
      <c r="G68" s="19"/>
      <c r="H68" s="18"/>
      <c r="I68" s="19"/>
      <c r="J68" s="54"/>
    </row>
    <row r="69" spans="1:10" ht="18.75" x14ac:dyDescent="0.25">
      <c r="A69" s="14">
        <f t="shared" si="0"/>
        <v>64</v>
      </c>
      <c r="B69" s="16"/>
      <c r="C69" s="16" t="s">
        <v>159</v>
      </c>
      <c r="D69" s="16"/>
      <c r="E69" s="17" t="s">
        <v>91</v>
      </c>
      <c r="F69" s="18"/>
      <c r="G69" s="19"/>
      <c r="H69" s="18"/>
      <c r="I69" s="19"/>
      <c r="J69" s="54"/>
    </row>
    <row r="70" spans="1:10" ht="18.75" x14ac:dyDescent="0.25">
      <c r="A70" s="14">
        <f t="shared" si="0"/>
        <v>65</v>
      </c>
      <c r="B70" s="16"/>
      <c r="C70" s="16" t="s">
        <v>266</v>
      </c>
      <c r="D70" s="16"/>
      <c r="E70" s="17" t="s">
        <v>91</v>
      </c>
      <c r="F70" s="18"/>
      <c r="G70" s="19"/>
      <c r="H70" s="18"/>
      <c r="I70" s="19"/>
      <c r="J70" s="54"/>
    </row>
    <row r="71" spans="1:10" ht="18.75" x14ac:dyDescent="0.25">
      <c r="A71" s="14">
        <f t="shared" si="0"/>
        <v>66</v>
      </c>
      <c r="B71" s="16"/>
      <c r="C71" s="16" t="s">
        <v>267</v>
      </c>
      <c r="D71" s="16"/>
      <c r="E71" s="17" t="s">
        <v>95</v>
      </c>
      <c r="F71" s="18"/>
      <c r="G71" s="19"/>
      <c r="H71" s="18"/>
      <c r="I71" s="19"/>
      <c r="J71" s="54"/>
    </row>
    <row r="72" spans="1:10" ht="18.75" x14ac:dyDescent="0.25">
      <c r="A72" s="14">
        <f t="shared" si="0"/>
        <v>67</v>
      </c>
      <c r="B72" s="16"/>
      <c r="C72" s="16"/>
      <c r="D72" s="16" t="s">
        <v>339</v>
      </c>
      <c r="E72" s="17" t="s">
        <v>90</v>
      </c>
      <c r="F72" s="18"/>
      <c r="G72" s="19"/>
      <c r="H72" s="18"/>
      <c r="I72" s="19"/>
      <c r="J72" s="54"/>
    </row>
    <row r="73" spans="1:10" ht="18.75" x14ac:dyDescent="0.25">
      <c r="A73" s="14">
        <f t="shared" si="0"/>
        <v>68</v>
      </c>
      <c r="B73" s="16"/>
      <c r="C73" s="16"/>
      <c r="D73" s="16" t="s">
        <v>340</v>
      </c>
      <c r="E73" s="17" t="s">
        <v>90</v>
      </c>
      <c r="F73" s="18"/>
      <c r="G73" s="19"/>
      <c r="H73" s="18"/>
      <c r="I73" s="19"/>
      <c r="J73" s="54"/>
    </row>
    <row r="74" spans="1:10" ht="37.5" x14ac:dyDescent="0.25">
      <c r="A74" s="14">
        <f t="shared" si="0"/>
        <v>69</v>
      </c>
      <c r="B74" s="16" t="s">
        <v>268</v>
      </c>
      <c r="C74" s="16" t="s">
        <v>269</v>
      </c>
      <c r="D74" s="16"/>
      <c r="E74" s="17" t="s">
        <v>101</v>
      </c>
      <c r="F74" s="18"/>
      <c r="G74" s="19"/>
      <c r="H74" s="18"/>
      <c r="I74" s="19"/>
      <c r="J74" s="54"/>
    </row>
    <row r="75" spans="1:10" ht="18.75" x14ac:dyDescent="0.25">
      <c r="A75" s="14">
        <f t="shared" si="0"/>
        <v>70</v>
      </c>
      <c r="B75" s="16"/>
      <c r="C75" s="16" t="s">
        <v>109</v>
      </c>
      <c r="D75" s="16"/>
      <c r="E75" s="17" t="s">
        <v>89</v>
      </c>
      <c r="F75" s="18"/>
      <c r="G75" s="19"/>
      <c r="H75" s="18"/>
      <c r="I75" s="19"/>
      <c r="J75" s="54"/>
    </row>
    <row r="76" spans="1:10" ht="18.75" x14ac:dyDescent="0.25">
      <c r="A76" s="14">
        <f t="shared" si="0"/>
        <v>71</v>
      </c>
      <c r="B76" s="16"/>
      <c r="C76" s="16" t="s">
        <v>256</v>
      </c>
      <c r="D76" s="16"/>
      <c r="E76" s="17" t="s">
        <v>89</v>
      </c>
      <c r="F76" s="18"/>
      <c r="G76" s="19"/>
      <c r="H76" s="18"/>
      <c r="I76" s="19"/>
      <c r="J76" s="54"/>
    </row>
    <row r="77" spans="1:10" ht="18.75" x14ac:dyDescent="0.25">
      <c r="A77" s="14">
        <f t="shared" si="0"/>
        <v>72</v>
      </c>
      <c r="B77" s="16"/>
      <c r="C77" s="16" t="s">
        <v>115</v>
      </c>
      <c r="D77" s="16"/>
      <c r="E77" s="17" t="s">
        <v>90</v>
      </c>
      <c r="F77" s="18"/>
      <c r="G77" s="19"/>
      <c r="H77" s="18"/>
      <c r="I77" s="19"/>
      <c r="J77" s="54"/>
    </row>
    <row r="78" spans="1:10" ht="18.75" x14ac:dyDescent="0.25">
      <c r="A78" s="14">
        <f t="shared" si="0"/>
        <v>73</v>
      </c>
      <c r="B78" s="16"/>
      <c r="C78" s="16" t="s">
        <v>111</v>
      </c>
      <c r="D78" s="16"/>
      <c r="E78" s="17" t="s">
        <v>116</v>
      </c>
      <c r="F78" s="18"/>
      <c r="G78" s="19"/>
      <c r="H78" s="18"/>
      <c r="I78" s="19"/>
      <c r="J78" s="54"/>
    </row>
    <row r="79" spans="1:10" ht="18.75" x14ac:dyDescent="0.25">
      <c r="A79" s="14">
        <f t="shared" si="0"/>
        <v>74</v>
      </c>
      <c r="B79" s="16"/>
      <c r="C79" s="16"/>
      <c r="D79" s="16" t="s">
        <v>126</v>
      </c>
      <c r="E79" s="17" t="s">
        <v>90</v>
      </c>
      <c r="F79" s="18"/>
      <c r="G79" s="19"/>
      <c r="H79" s="18"/>
      <c r="I79" s="19"/>
      <c r="J79" s="54"/>
    </row>
    <row r="80" spans="1:10" ht="18.75" x14ac:dyDescent="0.25">
      <c r="A80" s="14">
        <f t="shared" si="0"/>
        <v>75</v>
      </c>
      <c r="B80" s="16"/>
      <c r="C80" s="16"/>
      <c r="D80" s="16" t="s">
        <v>127</v>
      </c>
      <c r="E80" s="17" t="s">
        <v>90</v>
      </c>
      <c r="F80" s="18"/>
      <c r="G80" s="19"/>
      <c r="H80" s="18"/>
      <c r="I80" s="19"/>
      <c r="J80" s="54"/>
    </row>
    <row r="81" spans="1:10" ht="18.75" x14ac:dyDescent="0.25">
      <c r="A81" s="14">
        <f t="shared" si="0"/>
        <v>76</v>
      </c>
      <c r="B81" s="16"/>
      <c r="C81" s="16" t="s">
        <v>101</v>
      </c>
      <c r="D81" s="16"/>
      <c r="E81" s="17" t="s">
        <v>150</v>
      </c>
      <c r="F81" s="18"/>
      <c r="G81" s="19"/>
      <c r="H81" s="18"/>
      <c r="I81" s="19"/>
      <c r="J81" s="54"/>
    </row>
    <row r="82" spans="1:10" s="57" customFormat="1" ht="18.75" x14ac:dyDescent="0.25">
      <c r="A82" s="14">
        <f t="shared" si="0"/>
        <v>77</v>
      </c>
      <c r="B82" s="16"/>
      <c r="C82" s="16" t="s">
        <v>547</v>
      </c>
      <c r="D82" s="16"/>
      <c r="E82" s="17" t="s">
        <v>150</v>
      </c>
      <c r="F82" s="18"/>
      <c r="G82" s="19"/>
      <c r="H82" s="18"/>
      <c r="I82" s="19"/>
      <c r="J82" s="54"/>
    </row>
    <row r="83" spans="1:10" ht="18.75" x14ac:dyDescent="0.25">
      <c r="A83" s="14">
        <f t="shared" si="0"/>
        <v>78</v>
      </c>
      <c r="B83" s="16"/>
      <c r="C83" s="16" t="s">
        <v>53</v>
      </c>
      <c r="D83" s="16"/>
      <c r="E83" s="17" t="s">
        <v>150</v>
      </c>
      <c r="F83" s="18"/>
      <c r="G83" s="19"/>
      <c r="H83" s="18"/>
      <c r="I83" s="19"/>
      <c r="J83" s="54"/>
    </row>
    <row r="84" spans="1:10" ht="18.75" x14ac:dyDescent="0.25">
      <c r="A84" s="14">
        <f t="shared" si="0"/>
        <v>79</v>
      </c>
      <c r="B84" s="16"/>
      <c r="C84" s="16" t="s">
        <v>129</v>
      </c>
      <c r="D84" s="16"/>
      <c r="E84" s="17" t="s">
        <v>150</v>
      </c>
      <c r="F84" s="18"/>
      <c r="G84" s="19"/>
      <c r="H84" s="18"/>
      <c r="I84" s="19"/>
      <c r="J84" s="54"/>
    </row>
    <row r="85" spans="1:10" ht="18.75" x14ac:dyDescent="0.25">
      <c r="A85" s="14">
        <f t="shared" si="0"/>
        <v>80</v>
      </c>
      <c r="B85" s="16"/>
      <c r="C85" s="16" t="s">
        <v>143</v>
      </c>
      <c r="D85" s="16"/>
      <c r="E85" s="17" t="s">
        <v>150</v>
      </c>
      <c r="F85" s="18"/>
      <c r="G85" s="19"/>
      <c r="H85" s="18"/>
      <c r="I85" s="19"/>
      <c r="J85" s="54"/>
    </row>
    <row r="86" spans="1:10" ht="18.75" x14ac:dyDescent="0.25">
      <c r="A86" s="14">
        <f t="shared" si="0"/>
        <v>81</v>
      </c>
      <c r="B86" s="16"/>
      <c r="C86" s="16" t="s">
        <v>144</v>
      </c>
      <c r="D86" s="16"/>
      <c r="E86" s="17" t="s">
        <v>150</v>
      </c>
      <c r="F86" s="18"/>
      <c r="G86" s="19"/>
      <c r="H86" s="18"/>
      <c r="I86" s="19"/>
      <c r="J86" s="54"/>
    </row>
    <row r="87" spans="1:10" ht="18.75" x14ac:dyDescent="0.25">
      <c r="A87" s="14">
        <f t="shared" si="0"/>
        <v>82</v>
      </c>
      <c r="B87" s="16"/>
      <c r="C87" s="16" t="s">
        <v>145</v>
      </c>
      <c r="D87" s="16"/>
      <c r="E87" s="17" t="s">
        <v>150</v>
      </c>
      <c r="F87" s="18"/>
      <c r="G87" s="19"/>
      <c r="H87" s="18"/>
      <c r="I87" s="19"/>
      <c r="J87" s="54"/>
    </row>
    <row r="88" spans="1:10" ht="18.75" x14ac:dyDescent="0.25">
      <c r="A88" s="14">
        <f t="shared" si="0"/>
        <v>83</v>
      </c>
      <c r="B88" s="16"/>
      <c r="C88" s="16" t="s">
        <v>120</v>
      </c>
      <c r="D88" s="16"/>
      <c r="E88" s="17" t="s">
        <v>150</v>
      </c>
      <c r="F88" s="18"/>
      <c r="G88" s="19"/>
      <c r="H88" s="18"/>
      <c r="I88" s="19"/>
      <c r="J88" s="54"/>
    </row>
    <row r="89" spans="1:10" ht="18.75" x14ac:dyDescent="0.25">
      <c r="A89" s="14">
        <f t="shared" si="0"/>
        <v>84</v>
      </c>
      <c r="B89" s="16"/>
      <c r="C89" s="16" t="s">
        <v>146</v>
      </c>
      <c r="D89" s="16"/>
      <c r="E89" s="17" t="s">
        <v>150</v>
      </c>
      <c r="F89" s="18"/>
      <c r="G89" s="19"/>
      <c r="H89" s="18"/>
      <c r="I89" s="19"/>
      <c r="J89" s="54"/>
    </row>
    <row r="90" spans="1:10" ht="18.75" x14ac:dyDescent="0.25">
      <c r="A90" s="14">
        <f t="shared" si="0"/>
        <v>85</v>
      </c>
      <c r="B90" s="16"/>
      <c r="C90" s="16" t="s">
        <v>147</v>
      </c>
      <c r="D90" s="16"/>
      <c r="E90" s="17" t="s">
        <v>150</v>
      </c>
      <c r="F90" s="18"/>
      <c r="G90" s="19"/>
      <c r="H90" s="18"/>
      <c r="I90" s="19"/>
      <c r="J90" s="54"/>
    </row>
    <row r="91" spans="1:10" ht="18.75" x14ac:dyDescent="0.25">
      <c r="A91" s="14">
        <f t="shared" si="0"/>
        <v>86</v>
      </c>
      <c r="B91" s="16"/>
      <c r="C91" s="16" t="s">
        <v>148</v>
      </c>
      <c r="D91" s="16"/>
      <c r="E91" s="17" t="s">
        <v>150</v>
      </c>
      <c r="F91" s="18"/>
      <c r="G91" s="19"/>
      <c r="H91" s="18"/>
      <c r="I91" s="19"/>
      <c r="J91" s="54"/>
    </row>
    <row r="92" spans="1:10" ht="18.75" x14ac:dyDescent="0.25">
      <c r="A92" s="14">
        <f t="shared" si="0"/>
        <v>87</v>
      </c>
      <c r="B92" s="16"/>
      <c r="C92" s="16" t="s">
        <v>149</v>
      </c>
      <c r="D92" s="16"/>
      <c r="E92" s="17" t="s">
        <v>150</v>
      </c>
      <c r="F92" s="18"/>
      <c r="G92" s="19"/>
      <c r="H92" s="18"/>
      <c r="I92" s="19"/>
      <c r="J92" s="54"/>
    </row>
    <row r="93" spans="1:10" ht="18.75" x14ac:dyDescent="0.25">
      <c r="A93" s="14">
        <f t="shared" si="0"/>
        <v>88</v>
      </c>
      <c r="B93" s="16"/>
      <c r="C93" s="16" t="s">
        <v>116</v>
      </c>
      <c r="D93" s="16"/>
      <c r="E93" s="17" t="s">
        <v>150</v>
      </c>
      <c r="F93" s="18"/>
      <c r="G93" s="19"/>
      <c r="H93" s="18"/>
      <c r="I93" s="19"/>
      <c r="J93" s="54"/>
    </row>
    <row r="94" spans="1:10" ht="18.75" x14ac:dyDescent="0.25">
      <c r="A94" s="14">
        <f t="shared" si="0"/>
        <v>89</v>
      </c>
      <c r="B94" s="16"/>
      <c r="C94" s="16" t="s">
        <v>112</v>
      </c>
      <c r="D94" s="16"/>
      <c r="E94" s="17" t="s">
        <v>89</v>
      </c>
      <c r="F94" s="18"/>
      <c r="G94" s="19"/>
      <c r="H94" s="18"/>
      <c r="I94" s="19"/>
      <c r="J94" s="54"/>
    </row>
    <row r="95" spans="1:10" ht="18.75" x14ac:dyDescent="0.25">
      <c r="A95" s="14">
        <f t="shared" si="0"/>
        <v>90</v>
      </c>
      <c r="B95" s="16"/>
      <c r="C95" s="16" t="s">
        <v>113</v>
      </c>
      <c r="D95" s="16"/>
      <c r="E95" s="17" t="s">
        <v>117</v>
      </c>
      <c r="F95" s="18"/>
      <c r="G95" s="19"/>
      <c r="H95" s="18"/>
      <c r="I95" s="19"/>
      <c r="J95" s="54"/>
    </row>
    <row r="96" spans="1:10" ht="18.75" x14ac:dyDescent="0.25">
      <c r="A96" s="14">
        <f t="shared" si="0"/>
        <v>91</v>
      </c>
      <c r="B96" s="16"/>
      <c r="C96" s="16" t="s">
        <v>136</v>
      </c>
      <c r="D96" s="16"/>
      <c r="E96" s="17" t="s">
        <v>101</v>
      </c>
      <c r="F96" s="18"/>
      <c r="G96" s="19"/>
      <c r="H96" s="18"/>
      <c r="I96" s="19"/>
      <c r="J96" s="54"/>
    </row>
    <row r="97" spans="1:10" ht="18.75" x14ac:dyDescent="0.25">
      <c r="A97" s="14">
        <f t="shared" si="0"/>
        <v>92</v>
      </c>
      <c r="B97" s="16"/>
      <c r="C97" s="16"/>
      <c r="D97" s="16" t="s">
        <v>131</v>
      </c>
      <c r="E97" s="17" t="s">
        <v>90</v>
      </c>
      <c r="F97" s="18"/>
      <c r="G97" s="19"/>
      <c r="H97" s="18"/>
      <c r="I97" s="19"/>
      <c r="J97" s="54"/>
    </row>
    <row r="98" spans="1:10" ht="18.75" x14ac:dyDescent="0.25">
      <c r="A98" s="14">
        <f t="shared" si="0"/>
        <v>93</v>
      </c>
      <c r="B98" s="16"/>
      <c r="C98" s="16"/>
      <c r="D98" s="16" t="s">
        <v>135</v>
      </c>
      <c r="E98" s="17" t="s">
        <v>90</v>
      </c>
      <c r="F98" s="18"/>
      <c r="G98" s="19"/>
      <c r="H98" s="18"/>
      <c r="I98" s="19"/>
      <c r="J98" s="54"/>
    </row>
    <row r="99" spans="1:10" ht="18.75" x14ac:dyDescent="0.25">
      <c r="A99" s="14">
        <f t="shared" si="0"/>
        <v>94</v>
      </c>
      <c r="B99" s="16"/>
      <c r="C99" s="16" t="s">
        <v>114</v>
      </c>
      <c r="D99" s="16"/>
      <c r="E99" s="17" t="s">
        <v>89</v>
      </c>
      <c r="F99" s="18"/>
      <c r="G99" s="19"/>
      <c r="H99" s="18"/>
      <c r="I99" s="19"/>
      <c r="J99" s="54"/>
    </row>
    <row r="100" spans="1:10" ht="18.75" x14ac:dyDescent="0.25">
      <c r="A100" s="14">
        <f t="shared" ref="A100:A163" si="1">+A99+1</f>
        <v>95</v>
      </c>
      <c r="B100" s="16"/>
      <c r="C100" s="16" t="s">
        <v>104</v>
      </c>
      <c r="D100" s="16"/>
      <c r="E100" s="17" t="s">
        <v>90</v>
      </c>
      <c r="F100" s="18"/>
      <c r="G100" s="19"/>
      <c r="H100" s="18"/>
      <c r="I100" s="19"/>
      <c r="J100" s="54"/>
    </row>
    <row r="101" spans="1:10" ht="18.75" x14ac:dyDescent="0.25">
      <c r="A101" s="14">
        <f t="shared" si="1"/>
        <v>96</v>
      </c>
      <c r="B101" s="16"/>
      <c r="C101" s="16" t="s">
        <v>105</v>
      </c>
      <c r="D101" s="16"/>
      <c r="E101" s="17" t="s">
        <v>90</v>
      </c>
      <c r="F101" s="18"/>
      <c r="G101" s="19"/>
      <c r="H101" s="18"/>
      <c r="I101" s="19"/>
      <c r="J101" s="54"/>
    </row>
    <row r="102" spans="1:10" s="57" customFormat="1" ht="18.75" x14ac:dyDescent="0.25">
      <c r="A102" s="14">
        <f t="shared" si="1"/>
        <v>97</v>
      </c>
      <c r="B102" s="16"/>
      <c r="C102" s="16" t="s">
        <v>550</v>
      </c>
      <c r="D102" s="16"/>
      <c r="E102" s="17" t="s">
        <v>123</v>
      </c>
      <c r="F102" s="18"/>
      <c r="G102" s="19"/>
      <c r="H102" s="18"/>
      <c r="I102" s="19"/>
      <c r="J102" s="54"/>
    </row>
    <row r="103" spans="1:10" s="60" customFormat="1" ht="18.75" x14ac:dyDescent="0.25">
      <c r="A103" s="14">
        <f t="shared" si="1"/>
        <v>98</v>
      </c>
      <c r="B103" s="61"/>
      <c r="C103" s="61"/>
      <c r="D103" s="61" t="s">
        <v>169</v>
      </c>
      <c r="E103" s="17" t="s">
        <v>123</v>
      </c>
      <c r="F103" s="18"/>
      <c r="G103" s="19"/>
      <c r="H103" s="18"/>
      <c r="I103" s="19"/>
      <c r="J103" s="54"/>
    </row>
    <row r="104" spans="1:10" s="60" customFormat="1" ht="18.75" x14ac:dyDescent="0.25">
      <c r="A104" s="14">
        <f t="shared" si="1"/>
        <v>99</v>
      </c>
      <c r="B104" s="61"/>
      <c r="C104" s="61"/>
      <c r="D104" s="61" t="s">
        <v>170</v>
      </c>
      <c r="E104" s="17" t="s">
        <v>123</v>
      </c>
      <c r="F104" s="18"/>
      <c r="G104" s="19"/>
      <c r="H104" s="18"/>
      <c r="I104" s="19"/>
      <c r="J104" s="54"/>
    </row>
    <row r="105" spans="1:10" s="60" customFormat="1" ht="18.75" x14ac:dyDescent="0.25">
      <c r="A105" s="14">
        <f t="shared" si="1"/>
        <v>100</v>
      </c>
      <c r="B105" s="61"/>
      <c r="C105" s="61"/>
      <c r="D105" s="61" t="s">
        <v>171</v>
      </c>
      <c r="E105" s="17" t="s">
        <v>123</v>
      </c>
      <c r="F105" s="18"/>
      <c r="G105" s="19"/>
      <c r="H105" s="18"/>
      <c r="I105" s="19"/>
      <c r="J105" s="54"/>
    </row>
    <row r="106" spans="1:10" s="60" customFormat="1" ht="18.75" x14ac:dyDescent="0.25">
      <c r="A106" s="14">
        <f t="shared" si="1"/>
        <v>101</v>
      </c>
      <c r="B106" s="61"/>
      <c r="C106" s="61"/>
      <c r="D106" s="61" t="s">
        <v>18</v>
      </c>
      <c r="E106" s="17" t="s">
        <v>123</v>
      </c>
      <c r="F106" s="18"/>
      <c r="G106" s="19"/>
      <c r="H106" s="18"/>
      <c r="I106" s="19"/>
      <c r="J106" s="54"/>
    </row>
    <row r="107" spans="1:10" s="60" customFormat="1" ht="18.75" x14ac:dyDescent="0.25">
      <c r="A107" s="14">
        <f t="shared" si="1"/>
        <v>102</v>
      </c>
      <c r="B107" s="61"/>
      <c r="C107" s="61"/>
      <c r="D107" s="61" t="s">
        <v>172</v>
      </c>
      <c r="E107" s="17" t="s">
        <v>123</v>
      </c>
      <c r="F107" s="18"/>
      <c r="G107" s="19"/>
      <c r="H107" s="18"/>
      <c r="I107" s="19"/>
      <c r="J107" s="54"/>
    </row>
    <row r="108" spans="1:10" s="60" customFormat="1" ht="18.75" x14ac:dyDescent="0.25">
      <c r="A108" s="14">
        <f t="shared" si="1"/>
        <v>103</v>
      </c>
      <c r="B108" s="61"/>
      <c r="C108" s="61"/>
      <c r="D108" s="61" t="s">
        <v>173</v>
      </c>
      <c r="E108" s="17" t="s">
        <v>123</v>
      </c>
      <c r="F108" s="18"/>
      <c r="G108" s="19"/>
      <c r="H108" s="18"/>
      <c r="I108" s="19"/>
      <c r="J108" s="54"/>
    </row>
    <row r="109" spans="1:10" s="60" customFormat="1" ht="18.75" x14ac:dyDescent="0.25">
      <c r="A109" s="14">
        <f t="shared" si="1"/>
        <v>104</v>
      </c>
      <c r="B109" s="61"/>
      <c r="C109" s="61"/>
      <c r="D109" s="61" t="s">
        <v>174</v>
      </c>
      <c r="E109" s="17" t="s">
        <v>123</v>
      </c>
      <c r="F109" s="18"/>
      <c r="G109" s="19"/>
      <c r="H109" s="18"/>
      <c r="I109" s="19"/>
      <c r="J109" s="54"/>
    </row>
    <row r="110" spans="1:10" s="60" customFormat="1" ht="18.75" x14ac:dyDescent="0.25">
      <c r="A110" s="14">
        <f t="shared" si="1"/>
        <v>105</v>
      </c>
      <c r="B110" s="61"/>
      <c r="C110" s="61"/>
      <c r="D110" s="61" t="s">
        <v>175</v>
      </c>
      <c r="E110" s="17" t="s">
        <v>123</v>
      </c>
      <c r="F110" s="18"/>
      <c r="G110" s="19"/>
      <c r="H110" s="18"/>
      <c r="I110" s="19"/>
      <c r="J110" s="54"/>
    </row>
    <row r="111" spans="1:10" s="60" customFormat="1" ht="37.5" x14ac:dyDescent="0.25">
      <c r="A111" s="14">
        <f t="shared" si="1"/>
        <v>106</v>
      </c>
      <c r="B111" s="61"/>
      <c r="C111" s="61"/>
      <c r="D111" s="61" t="s">
        <v>176</v>
      </c>
      <c r="E111" s="17" t="s">
        <v>123</v>
      </c>
      <c r="F111" s="18"/>
      <c r="G111" s="19"/>
      <c r="H111" s="18"/>
      <c r="I111" s="19"/>
      <c r="J111" s="54"/>
    </row>
    <row r="112" spans="1:10" s="60" customFormat="1" ht="18.75" x14ac:dyDescent="0.25">
      <c r="A112" s="14">
        <f t="shared" si="1"/>
        <v>107</v>
      </c>
      <c r="B112" s="61"/>
      <c r="C112" s="61"/>
      <c r="D112" s="61" t="s">
        <v>177</v>
      </c>
      <c r="E112" s="17" t="s">
        <v>123</v>
      </c>
      <c r="F112" s="18"/>
      <c r="G112" s="19"/>
      <c r="H112" s="18"/>
      <c r="I112" s="19"/>
      <c r="J112" s="54"/>
    </row>
    <row r="113" spans="1:10" s="60" customFormat="1" ht="18.75" x14ac:dyDescent="0.25">
      <c r="A113" s="14">
        <f t="shared" si="1"/>
        <v>108</v>
      </c>
      <c r="B113" s="61"/>
      <c r="C113" s="61"/>
      <c r="D113" s="61" t="s">
        <v>552</v>
      </c>
      <c r="E113" s="17" t="s">
        <v>123</v>
      </c>
      <c r="F113" s="18"/>
      <c r="G113" s="19"/>
      <c r="H113" s="18"/>
      <c r="I113" s="19"/>
      <c r="J113" s="54"/>
    </row>
    <row r="114" spans="1:10" s="57" customFormat="1" ht="18.75" x14ac:dyDescent="0.25">
      <c r="A114" s="14">
        <f t="shared" si="1"/>
        <v>109</v>
      </c>
      <c r="B114" s="16"/>
      <c r="C114" s="16" t="s">
        <v>551</v>
      </c>
      <c r="D114" s="16"/>
      <c r="E114" s="17" t="s">
        <v>116</v>
      </c>
      <c r="F114" s="18"/>
      <c r="G114" s="19"/>
      <c r="H114" s="18"/>
      <c r="I114" s="19"/>
      <c r="J114" s="54"/>
    </row>
    <row r="115" spans="1:10" s="57" customFormat="1" ht="18.75" x14ac:dyDescent="0.25">
      <c r="A115" s="14">
        <f t="shared" si="1"/>
        <v>110</v>
      </c>
      <c r="B115" s="16"/>
      <c r="C115" s="16" t="s">
        <v>247</v>
      </c>
      <c r="D115" s="16"/>
      <c r="E115" s="17" t="s">
        <v>249</v>
      </c>
      <c r="F115" s="18"/>
      <c r="G115" s="19"/>
      <c r="H115" s="18"/>
      <c r="I115" s="19"/>
      <c r="J115" s="54"/>
    </row>
    <row r="116" spans="1:10" s="57" customFormat="1" ht="18.75" x14ac:dyDescent="0.25">
      <c r="A116" s="14">
        <f t="shared" si="1"/>
        <v>111</v>
      </c>
      <c r="B116" s="16"/>
      <c r="C116" s="16" t="s">
        <v>165</v>
      </c>
      <c r="D116" s="16" t="s">
        <v>169</v>
      </c>
      <c r="E116" s="17" t="s">
        <v>91</v>
      </c>
      <c r="F116" s="18"/>
      <c r="G116" s="19"/>
      <c r="H116" s="18"/>
      <c r="I116" s="19"/>
      <c r="J116" s="54"/>
    </row>
    <row r="117" spans="1:10" s="57" customFormat="1" ht="18.75" x14ac:dyDescent="0.25">
      <c r="A117" s="14">
        <f t="shared" si="1"/>
        <v>112</v>
      </c>
      <c r="B117" s="16"/>
      <c r="C117" s="16"/>
      <c r="D117" s="16" t="s">
        <v>170</v>
      </c>
      <c r="E117" s="17" t="s">
        <v>91</v>
      </c>
      <c r="F117" s="18"/>
      <c r="G117" s="19"/>
      <c r="H117" s="18"/>
      <c r="I117" s="19"/>
      <c r="J117" s="54"/>
    </row>
    <row r="118" spans="1:10" s="57" customFormat="1" ht="18.75" x14ac:dyDescent="0.25">
      <c r="A118" s="14">
        <f t="shared" si="1"/>
        <v>113</v>
      </c>
      <c r="B118" s="16"/>
      <c r="C118" s="16"/>
      <c r="D118" s="16" t="s">
        <v>171</v>
      </c>
      <c r="E118" s="17" t="s">
        <v>91</v>
      </c>
      <c r="F118" s="18"/>
      <c r="G118" s="19"/>
      <c r="H118" s="18"/>
      <c r="I118" s="19"/>
      <c r="J118" s="54"/>
    </row>
    <row r="119" spans="1:10" s="57" customFormat="1" ht="18.75" x14ac:dyDescent="0.25">
      <c r="A119" s="14">
        <f t="shared" si="1"/>
        <v>114</v>
      </c>
      <c r="B119" s="16"/>
      <c r="C119" s="16"/>
      <c r="D119" s="16" t="s">
        <v>18</v>
      </c>
      <c r="E119" s="17" t="s">
        <v>91</v>
      </c>
      <c r="F119" s="18"/>
      <c r="G119" s="19"/>
      <c r="H119" s="18"/>
      <c r="I119" s="19"/>
      <c r="J119" s="54"/>
    </row>
    <row r="120" spans="1:10" s="57" customFormat="1" ht="18.75" x14ac:dyDescent="0.25">
      <c r="A120" s="14">
        <f t="shared" si="1"/>
        <v>115</v>
      </c>
      <c r="B120" s="16"/>
      <c r="C120" s="16"/>
      <c r="D120" s="16" t="s">
        <v>172</v>
      </c>
      <c r="E120" s="17" t="s">
        <v>91</v>
      </c>
      <c r="F120" s="18"/>
      <c r="G120" s="19"/>
      <c r="H120" s="18"/>
      <c r="I120" s="19"/>
      <c r="J120" s="54"/>
    </row>
    <row r="121" spans="1:10" s="57" customFormat="1" ht="18.75" x14ac:dyDescent="0.25">
      <c r="A121" s="14">
        <f t="shared" si="1"/>
        <v>116</v>
      </c>
      <c r="B121" s="16"/>
      <c r="C121" s="16"/>
      <c r="D121" s="16" t="s">
        <v>173</v>
      </c>
      <c r="E121" s="17" t="s">
        <v>91</v>
      </c>
      <c r="F121" s="18"/>
      <c r="G121" s="19"/>
      <c r="H121" s="18"/>
      <c r="I121" s="19"/>
      <c r="J121" s="54"/>
    </row>
    <row r="122" spans="1:10" s="57" customFormat="1" ht="18.75" x14ac:dyDescent="0.25">
      <c r="A122" s="14">
        <f t="shared" si="1"/>
        <v>117</v>
      </c>
      <c r="B122" s="16"/>
      <c r="C122" s="16"/>
      <c r="D122" s="16" t="s">
        <v>174</v>
      </c>
      <c r="E122" s="17" t="s">
        <v>91</v>
      </c>
      <c r="F122" s="18"/>
      <c r="G122" s="19"/>
      <c r="H122" s="18"/>
      <c r="I122" s="19"/>
      <c r="J122" s="54"/>
    </row>
    <row r="123" spans="1:10" s="57" customFormat="1" ht="18.75" x14ac:dyDescent="0.25">
      <c r="A123" s="14">
        <f t="shared" si="1"/>
        <v>118</v>
      </c>
      <c r="B123" s="16"/>
      <c r="C123" s="16"/>
      <c r="D123" s="16" t="s">
        <v>175</v>
      </c>
      <c r="E123" s="17" t="s">
        <v>91</v>
      </c>
      <c r="F123" s="18"/>
      <c r="G123" s="19"/>
      <c r="H123" s="18"/>
      <c r="I123" s="19"/>
      <c r="J123" s="54"/>
    </row>
    <row r="124" spans="1:10" s="57" customFormat="1" ht="37.5" x14ac:dyDescent="0.25">
      <c r="A124" s="14">
        <f t="shared" si="1"/>
        <v>119</v>
      </c>
      <c r="B124" s="16"/>
      <c r="C124" s="16"/>
      <c r="D124" s="16" t="s">
        <v>176</v>
      </c>
      <c r="E124" s="17" t="s">
        <v>91</v>
      </c>
      <c r="F124" s="18"/>
      <c r="G124" s="19"/>
      <c r="H124" s="18"/>
      <c r="I124" s="19"/>
      <c r="J124" s="54"/>
    </row>
    <row r="125" spans="1:10" s="57" customFormat="1" ht="18.75" x14ac:dyDescent="0.25">
      <c r="A125" s="14">
        <f t="shared" si="1"/>
        <v>120</v>
      </c>
      <c r="B125" s="16"/>
      <c r="C125" s="16"/>
      <c r="D125" s="16" t="s">
        <v>177</v>
      </c>
      <c r="E125" s="17" t="s">
        <v>91</v>
      </c>
      <c r="F125" s="18"/>
      <c r="G125" s="19"/>
      <c r="H125" s="18"/>
      <c r="I125" s="19"/>
      <c r="J125" s="54"/>
    </row>
    <row r="126" spans="1:10" s="57" customFormat="1" ht="18.75" x14ac:dyDescent="0.25">
      <c r="A126" s="14">
        <f t="shared" si="1"/>
        <v>121</v>
      </c>
      <c r="B126" s="16"/>
      <c r="C126" s="16"/>
      <c r="D126" s="16" t="s">
        <v>552</v>
      </c>
      <c r="E126" s="17" t="s">
        <v>91</v>
      </c>
      <c r="F126" s="18"/>
      <c r="G126" s="19"/>
      <c r="H126" s="18"/>
      <c r="I126" s="19"/>
      <c r="J126" s="54"/>
    </row>
    <row r="127" spans="1:10" s="57" customFormat="1" ht="18.75" x14ac:dyDescent="0.25">
      <c r="A127" s="14">
        <f t="shared" si="1"/>
        <v>122</v>
      </c>
      <c r="B127" s="16"/>
      <c r="C127" s="16"/>
      <c r="D127" s="16" t="s">
        <v>179</v>
      </c>
      <c r="E127" s="17" t="s">
        <v>91</v>
      </c>
      <c r="F127" s="18"/>
      <c r="G127" s="19"/>
      <c r="H127" s="18"/>
      <c r="I127" s="19"/>
      <c r="J127" s="54"/>
    </row>
    <row r="128" spans="1:10" s="57" customFormat="1" ht="18.75" x14ac:dyDescent="0.25">
      <c r="A128" s="14">
        <f t="shared" si="1"/>
        <v>123</v>
      </c>
      <c r="B128" s="16"/>
      <c r="C128" s="16"/>
      <c r="D128" s="16" t="s">
        <v>180</v>
      </c>
      <c r="E128" s="17" t="s">
        <v>91</v>
      </c>
      <c r="F128" s="18"/>
      <c r="G128" s="19"/>
      <c r="H128" s="18"/>
      <c r="I128" s="19"/>
      <c r="J128" s="54"/>
    </row>
    <row r="129" spans="1:10" s="57" customFormat="1" ht="18.75" x14ac:dyDescent="0.25">
      <c r="A129" s="14">
        <f t="shared" si="1"/>
        <v>124</v>
      </c>
      <c r="B129" s="16"/>
      <c r="C129" s="16"/>
      <c r="D129" s="16" t="s">
        <v>181</v>
      </c>
      <c r="E129" s="17" t="s">
        <v>91</v>
      </c>
      <c r="F129" s="18"/>
      <c r="G129" s="19"/>
      <c r="H129" s="18"/>
      <c r="I129" s="19"/>
      <c r="J129" s="54"/>
    </row>
    <row r="130" spans="1:10" s="57" customFormat="1" ht="18.75" x14ac:dyDescent="0.25">
      <c r="A130" s="14">
        <f t="shared" si="1"/>
        <v>125</v>
      </c>
      <c r="B130" s="16"/>
      <c r="C130" s="16"/>
      <c r="D130" s="16" t="s">
        <v>182</v>
      </c>
      <c r="E130" s="17" t="s">
        <v>91</v>
      </c>
      <c r="F130" s="18"/>
      <c r="G130" s="19"/>
      <c r="H130" s="18"/>
      <c r="I130" s="19"/>
      <c r="J130" s="54"/>
    </row>
    <row r="131" spans="1:10" s="57" customFormat="1" ht="18.75" x14ac:dyDescent="0.25">
      <c r="A131" s="14">
        <f t="shared" si="1"/>
        <v>126</v>
      </c>
      <c r="B131" s="16"/>
      <c r="C131" s="16"/>
      <c r="D131" s="16" t="s">
        <v>183</v>
      </c>
      <c r="E131" s="17" t="s">
        <v>91</v>
      </c>
      <c r="F131" s="18"/>
      <c r="G131" s="19"/>
      <c r="H131" s="18"/>
      <c r="I131" s="19"/>
      <c r="J131" s="54"/>
    </row>
    <row r="132" spans="1:10" s="57" customFormat="1" ht="18.75" x14ac:dyDescent="0.25">
      <c r="A132" s="14">
        <f t="shared" si="1"/>
        <v>127</v>
      </c>
      <c r="B132" s="16"/>
      <c r="C132" s="16"/>
      <c r="D132" s="16" t="s">
        <v>184</v>
      </c>
      <c r="E132" s="17" t="s">
        <v>91</v>
      </c>
      <c r="F132" s="18"/>
      <c r="G132" s="19"/>
      <c r="H132" s="18"/>
      <c r="I132" s="19"/>
      <c r="J132" s="54"/>
    </row>
    <row r="133" spans="1:10" s="57" customFormat="1" ht="18.75" x14ac:dyDescent="0.25">
      <c r="A133" s="14">
        <f t="shared" si="1"/>
        <v>128</v>
      </c>
      <c r="B133" s="16"/>
      <c r="C133" s="16" t="s">
        <v>553</v>
      </c>
      <c r="D133" s="16" t="s">
        <v>199</v>
      </c>
      <c r="E133" s="17" t="s">
        <v>150</v>
      </c>
      <c r="F133" s="18"/>
      <c r="G133" s="19"/>
      <c r="H133" s="18"/>
      <c r="I133" s="19"/>
      <c r="J133" s="54"/>
    </row>
    <row r="134" spans="1:10" s="57" customFormat="1" ht="18.75" x14ac:dyDescent="0.25">
      <c r="A134" s="14">
        <f t="shared" si="1"/>
        <v>129</v>
      </c>
      <c r="B134" s="16"/>
      <c r="C134" s="16"/>
      <c r="D134" s="16" t="s">
        <v>272</v>
      </c>
      <c r="E134" s="17" t="s">
        <v>150</v>
      </c>
      <c r="F134" s="18"/>
      <c r="G134" s="19"/>
      <c r="H134" s="18"/>
      <c r="I134" s="19"/>
      <c r="J134" s="54"/>
    </row>
    <row r="135" spans="1:10" s="57" customFormat="1" ht="18.75" x14ac:dyDescent="0.25">
      <c r="A135" s="14">
        <f t="shared" si="1"/>
        <v>130</v>
      </c>
      <c r="B135" s="16"/>
      <c r="C135" s="16"/>
      <c r="D135" s="16" t="s">
        <v>200</v>
      </c>
      <c r="E135" s="17" t="s">
        <v>150</v>
      </c>
      <c r="F135" s="18"/>
      <c r="G135" s="19"/>
      <c r="H135" s="18"/>
      <c r="I135" s="19"/>
      <c r="J135" s="54"/>
    </row>
    <row r="136" spans="1:10" s="60" customFormat="1" ht="18.75" x14ac:dyDescent="0.25">
      <c r="A136" s="14">
        <f t="shared" si="1"/>
        <v>131</v>
      </c>
      <c r="B136" s="61"/>
      <c r="C136" s="61" t="s">
        <v>128</v>
      </c>
      <c r="D136" s="61"/>
      <c r="E136" s="17" t="s">
        <v>150</v>
      </c>
      <c r="F136" s="18"/>
      <c r="G136" s="19"/>
      <c r="H136" s="18"/>
      <c r="I136" s="19"/>
      <c r="J136" s="54"/>
    </row>
    <row r="137" spans="1:10" s="60" customFormat="1" ht="18.75" x14ac:dyDescent="0.25">
      <c r="A137" s="14">
        <f t="shared" si="1"/>
        <v>132</v>
      </c>
      <c r="B137" s="61"/>
      <c r="C137" s="61" t="s">
        <v>130</v>
      </c>
      <c r="D137" s="61"/>
      <c r="E137" s="17" t="s">
        <v>150</v>
      </c>
      <c r="F137" s="18"/>
      <c r="G137" s="19"/>
      <c r="H137" s="18"/>
      <c r="I137" s="19"/>
      <c r="J137" s="54"/>
    </row>
    <row r="138" spans="1:10" s="60" customFormat="1" ht="18.75" x14ac:dyDescent="0.25">
      <c r="A138" s="14">
        <f t="shared" si="1"/>
        <v>133</v>
      </c>
      <c r="B138" s="61"/>
      <c r="C138" s="61" t="s">
        <v>137</v>
      </c>
      <c r="D138" s="61"/>
      <c r="E138" s="17" t="s">
        <v>150</v>
      </c>
      <c r="F138" s="18"/>
      <c r="G138" s="19"/>
      <c r="H138" s="18"/>
      <c r="I138" s="19"/>
      <c r="J138" s="54"/>
    </row>
    <row r="139" spans="1:10" ht="37.5" x14ac:dyDescent="0.25">
      <c r="A139" s="14">
        <f t="shared" si="1"/>
        <v>134</v>
      </c>
      <c r="B139" s="16" t="s">
        <v>270</v>
      </c>
      <c r="C139" s="16" t="s">
        <v>433</v>
      </c>
      <c r="D139" s="16"/>
      <c r="E139" s="17" t="s">
        <v>94</v>
      </c>
      <c r="F139" s="18"/>
      <c r="G139" s="19"/>
      <c r="H139" s="18"/>
      <c r="I139" s="19"/>
      <c r="J139" s="54"/>
    </row>
    <row r="140" spans="1:10" ht="18.75" x14ac:dyDescent="0.25">
      <c r="A140" s="14">
        <f t="shared" si="1"/>
        <v>135</v>
      </c>
      <c r="B140" s="16"/>
      <c r="C140" s="16" t="s">
        <v>159</v>
      </c>
      <c r="D140" s="16"/>
      <c r="E140" s="17" t="s">
        <v>91</v>
      </c>
      <c r="F140" s="18"/>
      <c r="G140" s="19"/>
      <c r="H140" s="18"/>
      <c r="I140" s="19"/>
      <c r="J140" s="54"/>
    </row>
    <row r="141" spans="1:10" ht="18.75" x14ac:dyDescent="0.25">
      <c r="A141" s="14">
        <f t="shared" si="1"/>
        <v>136</v>
      </c>
      <c r="B141" s="16"/>
      <c r="C141" s="16" t="s">
        <v>275</v>
      </c>
      <c r="D141" s="16"/>
      <c r="E141" s="17" t="s">
        <v>90</v>
      </c>
      <c r="F141" s="18"/>
      <c r="G141" s="19"/>
      <c r="H141" s="18"/>
      <c r="I141" s="19"/>
      <c r="J141" s="54"/>
    </row>
    <row r="142" spans="1:10" ht="37.5" x14ac:dyDescent="0.25">
      <c r="A142" s="14">
        <f t="shared" si="1"/>
        <v>137</v>
      </c>
      <c r="B142" s="16" t="s">
        <v>277</v>
      </c>
      <c r="C142" s="16" t="s">
        <v>433</v>
      </c>
      <c r="D142" s="16"/>
      <c r="E142" s="17" t="s">
        <v>94</v>
      </c>
      <c r="F142" s="18"/>
      <c r="G142" s="19"/>
      <c r="H142" s="18"/>
      <c r="I142" s="19"/>
      <c r="J142" s="54"/>
    </row>
    <row r="143" spans="1:10" ht="18.75" x14ac:dyDescent="0.25">
      <c r="A143" s="14">
        <f t="shared" si="1"/>
        <v>138</v>
      </c>
      <c r="B143" s="16"/>
      <c r="C143" s="16" t="s">
        <v>159</v>
      </c>
      <c r="D143" s="16"/>
      <c r="E143" s="17" t="s">
        <v>91</v>
      </c>
      <c r="F143" s="18"/>
      <c r="G143" s="19"/>
      <c r="H143" s="18"/>
      <c r="I143" s="19"/>
      <c r="J143" s="54"/>
    </row>
    <row r="144" spans="1:10" ht="37.5" x14ac:dyDescent="0.25">
      <c r="A144" s="14">
        <f t="shared" si="1"/>
        <v>139</v>
      </c>
      <c r="B144" s="16" t="s">
        <v>278</v>
      </c>
      <c r="C144" s="16" t="s">
        <v>269</v>
      </c>
      <c r="D144" s="16"/>
      <c r="E144" s="17" t="s">
        <v>101</v>
      </c>
      <c r="F144" s="18"/>
      <c r="G144" s="19"/>
      <c r="H144" s="18"/>
      <c r="I144" s="19"/>
      <c r="J144" s="54"/>
    </row>
    <row r="145" spans="1:10" ht="18.75" x14ac:dyDescent="0.25">
      <c r="A145" s="14">
        <f t="shared" si="1"/>
        <v>140</v>
      </c>
      <c r="B145" s="16"/>
      <c r="C145" s="16" t="s">
        <v>108</v>
      </c>
      <c r="D145" s="16"/>
      <c r="E145" s="17" t="s">
        <v>101</v>
      </c>
      <c r="F145" s="18"/>
      <c r="G145" s="19"/>
      <c r="H145" s="18"/>
      <c r="I145" s="19"/>
      <c r="J145" s="54"/>
    </row>
    <row r="146" spans="1:10" ht="18.75" x14ac:dyDescent="0.25">
      <c r="A146" s="14">
        <f t="shared" si="1"/>
        <v>141</v>
      </c>
      <c r="B146" s="16"/>
      <c r="C146" s="16" t="s">
        <v>109</v>
      </c>
      <c r="D146" s="16"/>
      <c r="E146" s="17" t="s">
        <v>101</v>
      </c>
      <c r="F146" s="18"/>
      <c r="G146" s="19"/>
      <c r="H146" s="18"/>
      <c r="I146" s="19"/>
      <c r="J146" s="54"/>
    </row>
    <row r="147" spans="1:10" ht="18.75" x14ac:dyDescent="0.25">
      <c r="A147" s="14">
        <f t="shared" si="1"/>
        <v>142</v>
      </c>
      <c r="B147" s="16"/>
      <c r="C147" s="16" t="s">
        <v>110</v>
      </c>
      <c r="D147" s="16"/>
      <c r="E147" s="17" t="s">
        <v>101</v>
      </c>
      <c r="F147" s="18"/>
      <c r="G147" s="19"/>
      <c r="H147" s="18"/>
      <c r="I147" s="19"/>
      <c r="J147" s="54"/>
    </row>
    <row r="148" spans="1:10" ht="18.75" x14ac:dyDescent="0.25">
      <c r="A148" s="14">
        <f t="shared" si="1"/>
        <v>143</v>
      </c>
      <c r="B148" s="16"/>
      <c r="C148" s="16" t="s">
        <v>111</v>
      </c>
      <c r="D148" s="16"/>
      <c r="E148" s="17" t="s">
        <v>116</v>
      </c>
      <c r="F148" s="18"/>
      <c r="G148" s="19"/>
      <c r="H148" s="18"/>
      <c r="I148" s="19"/>
      <c r="J148" s="54"/>
    </row>
    <row r="149" spans="1:10" ht="18.75" x14ac:dyDescent="0.25">
      <c r="A149" s="14">
        <f t="shared" si="1"/>
        <v>144</v>
      </c>
      <c r="B149" s="16"/>
      <c r="C149" s="16" t="s">
        <v>101</v>
      </c>
      <c r="D149" s="16"/>
      <c r="E149" s="17" t="s">
        <v>150</v>
      </c>
      <c r="F149" s="18"/>
      <c r="G149" s="19"/>
      <c r="H149" s="18"/>
      <c r="I149" s="19"/>
      <c r="J149" s="54"/>
    </row>
    <row r="150" spans="1:10" s="57" customFormat="1" ht="18.75" x14ac:dyDescent="0.25">
      <c r="A150" s="14">
        <f t="shared" si="1"/>
        <v>145</v>
      </c>
      <c r="B150" s="16"/>
      <c r="C150" s="16" t="s">
        <v>547</v>
      </c>
      <c r="D150" s="16"/>
      <c r="E150" s="17" t="s">
        <v>150</v>
      </c>
      <c r="F150" s="18"/>
      <c r="G150" s="19"/>
      <c r="H150" s="18"/>
      <c r="I150" s="19"/>
      <c r="J150" s="54"/>
    </row>
    <row r="151" spans="1:10" ht="18.75" x14ac:dyDescent="0.25">
      <c r="A151" s="14">
        <f t="shared" si="1"/>
        <v>146</v>
      </c>
      <c r="B151" s="16"/>
      <c r="C151" s="16" t="s">
        <v>53</v>
      </c>
      <c r="D151" s="16"/>
      <c r="E151" s="17" t="s">
        <v>150</v>
      </c>
      <c r="F151" s="18"/>
      <c r="G151" s="19"/>
      <c r="H151" s="18"/>
      <c r="I151" s="19"/>
      <c r="J151" s="54"/>
    </row>
    <row r="152" spans="1:10" ht="18.75" x14ac:dyDescent="0.25">
      <c r="A152" s="14">
        <f t="shared" si="1"/>
        <v>147</v>
      </c>
      <c r="B152" s="16"/>
      <c r="C152" s="16" t="s">
        <v>129</v>
      </c>
      <c r="D152" s="16"/>
      <c r="E152" s="17" t="s">
        <v>150</v>
      </c>
      <c r="F152" s="18"/>
      <c r="G152" s="19"/>
      <c r="H152" s="18"/>
      <c r="I152" s="19"/>
      <c r="J152" s="54"/>
    </row>
    <row r="153" spans="1:10" ht="18.75" x14ac:dyDescent="0.25">
      <c r="A153" s="14">
        <f t="shared" si="1"/>
        <v>148</v>
      </c>
      <c r="B153" s="16"/>
      <c r="C153" s="16" t="s">
        <v>143</v>
      </c>
      <c r="D153" s="16"/>
      <c r="E153" s="17" t="s">
        <v>150</v>
      </c>
      <c r="F153" s="18"/>
      <c r="G153" s="19"/>
      <c r="H153" s="18"/>
      <c r="I153" s="19"/>
      <c r="J153" s="54"/>
    </row>
    <row r="154" spans="1:10" ht="18.75" x14ac:dyDescent="0.25">
      <c r="A154" s="14">
        <f t="shared" si="1"/>
        <v>149</v>
      </c>
      <c r="B154" s="16"/>
      <c r="C154" s="16" t="s">
        <v>144</v>
      </c>
      <c r="D154" s="16"/>
      <c r="E154" s="17" t="s">
        <v>150</v>
      </c>
      <c r="F154" s="18"/>
      <c r="G154" s="19"/>
      <c r="H154" s="18"/>
      <c r="I154" s="19"/>
      <c r="J154" s="54"/>
    </row>
    <row r="155" spans="1:10" ht="18.75" x14ac:dyDescent="0.25">
      <c r="A155" s="14">
        <f t="shared" si="1"/>
        <v>150</v>
      </c>
      <c r="B155" s="16"/>
      <c r="C155" s="16" t="s">
        <v>145</v>
      </c>
      <c r="D155" s="16"/>
      <c r="E155" s="17" t="s">
        <v>150</v>
      </c>
      <c r="F155" s="18"/>
      <c r="G155" s="19"/>
      <c r="H155" s="18"/>
      <c r="I155" s="19"/>
      <c r="J155" s="54"/>
    </row>
    <row r="156" spans="1:10" ht="18.75" x14ac:dyDescent="0.25">
      <c r="A156" s="14">
        <f t="shared" si="1"/>
        <v>151</v>
      </c>
      <c r="B156" s="16"/>
      <c r="C156" s="16" t="s">
        <v>120</v>
      </c>
      <c r="D156" s="16"/>
      <c r="E156" s="17" t="s">
        <v>150</v>
      </c>
      <c r="F156" s="18"/>
      <c r="G156" s="19"/>
      <c r="H156" s="18"/>
      <c r="I156" s="19"/>
      <c r="J156" s="54"/>
    </row>
    <row r="157" spans="1:10" ht="18.75" x14ac:dyDescent="0.25">
      <c r="A157" s="14">
        <f t="shared" si="1"/>
        <v>152</v>
      </c>
      <c r="B157" s="16"/>
      <c r="C157" s="16" t="s">
        <v>146</v>
      </c>
      <c r="D157" s="16"/>
      <c r="E157" s="17" t="s">
        <v>150</v>
      </c>
      <c r="F157" s="18"/>
      <c r="G157" s="19"/>
      <c r="H157" s="18"/>
      <c r="I157" s="19"/>
      <c r="J157" s="54"/>
    </row>
    <row r="158" spans="1:10" ht="18.75" x14ac:dyDescent="0.25">
      <c r="A158" s="14">
        <f t="shared" si="1"/>
        <v>153</v>
      </c>
      <c r="B158" s="16"/>
      <c r="C158" s="16" t="s">
        <v>147</v>
      </c>
      <c r="D158" s="16"/>
      <c r="E158" s="17" t="s">
        <v>150</v>
      </c>
      <c r="F158" s="18"/>
      <c r="G158" s="19"/>
      <c r="H158" s="18"/>
      <c r="I158" s="19"/>
      <c r="J158" s="54"/>
    </row>
    <row r="159" spans="1:10" ht="18.75" x14ac:dyDescent="0.25">
      <c r="A159" s="14">
        <f t="shared" si="1"/>
        <v>154</v>
      </c>
      <c r="B159" s="16"/>
      <c r="C159" s="16" t="s">
        <v>148</v>
      </c>
      <c r="D159" s="16"/>
      <c r="E159" s="17" t="s">
        <v>150</v>
      </c>
      <c r="F159" s="18"/>
      <c r="G159" s="19"/>
      <c r="H159" s="18"/>
      <c r="I159" s="19"/>
      <c r="J159" s="54"/>
    </row>
    <row r="160" spans="1:10" ht="18.75" x14ac:dyDescent="0.25">
      <c r="A160" s="14">
        <f t="shared" si="1"/>
        <v>155</v>
      </c>
      <c r="B160" s="16"/>
      <c r="C160" s="16" t="s">
        <v>149</v>
      </c>
      <c r="D160" s="16"/>
      <c r="E160" s="17" t="s">
        <v>150</v>
      </c>
      <c r="F160" s="18"/>
      <c r="G160" s="19"/>
      <c r="H160" s="18"/>
      <c r="I160" s="19"/>
      <c r="J160" s="54"/>
    </row>
    <row r="161" spans="1:10" ht="18.75" x14ac:dyDescent="0.25">
      <c r="A161" s="14">
        <f t="shared" si="1"/>
        <v>156</v>
      </c>
      <c r="B161" s="16"/>
      <c r="C161" s="16" t="s">
        <v>116</v>
      </c>
      <c r="D161" s="16"/>
      <c r="E161" s="17" t="s">
        <v>150</v>
      </c>
      <c r="F161" s="18"/>
      <c r="G161" s="19"/>
      <c r="H161" s="18"/>
      <c r="I161" s="19"/>
      <c r="J161" s="54"/>
    </row>
    <row r="162" spans="1:10" ht="18.75" x14ac:dyDescent="0.25">
      <c r="A162" s="14">
        <f t="shared" si="1"/>
        <v>157</v>
      </c>
      <c r="B162" s="16"/>
      <c r="C162" s="16" t="s">
        <v>112</v>
      </c>
      <c r="D162" s="16"/>
      <c r="E162" s="17" t="s">
        <v>101</v>
      </c>
      <c r="F162" s="18"/>
      <c r="G162" s="19"/>
      <c r="H162" s="18"/>
      <c r="I162" s="19"/>
      <c r="J162" s="54"/>
    </row>
    <row r="163" spans="1:10" ht="18.75" x14ac:dyDescent="0.25">
      <c r="A163" s="14">
        <f t="shared" si="1"/>
        <v>158</v>
      </c>
      <c r="B163" s="16"/>
      <c r="C163" s="16" t="s">
        <v>279</v>
      </c>
      <c r="D163" s="16"/>
      <c r="E163" s="17" t="s">
        <v>101</v>
      </c>
      <c r="F163" s="18"/>
      <c r="G163" s="19"/>
      <c r="H163" s="18"/>
      <c r="I163" s="19"/>
      <c r="J163" s="54"/>
    </row>
    <row r="164" spans="1:10" ht="18.75" x14ac:dyDescent="0.25">
      <c r="A164" s="14">
        <f t="shared" ref="A164:A165" si="2">+A163+1</f>
        <v>159</v>
      </c>
      <c r="B164" s="16"/>
      <c r="C164" s="16" t="s">
        <v>280</v>
      </c>
      <c r="D164" s="16"/>
      <c r="E164" s="17" t="s">
        <v>101</v>
      </c>
      <c r="F164" s="18"/>
      <c r="G164" s="19"/>
      <c r="H164" s="18"/>
      <c r="I164" s="19"/>
      <c r="J164" s="54"/>
    </row>
    <row r="165" spans="1:10" ht="18.75" x14ac:dyDescent="0.25">
      <c r="A165" s="14">
        <f t="shared" si="2"/>
        <v>160</v>
      </c>
      <c r="B165" s="16"/>
      <c r="C165" s="16" t="s">
        <v>114</v>
      </c>
      <c r="D165" s="16"/>
      <c r="E165" s="17" t="s">
        <v>89</v>
      </c>
      <c r="F165" s="18"/>
      <c r="G165" s="19"/>
      <c r="H165" s="18"/>
      <c r="I165" s="19"/>
      <c r="J165" s="54"/>
    </row>
  </sheetData>
  <autoFilter ref="A5:J165"/>
  <conditionalFormatting sqref="F166:H1048576 F5 H5 F139:F165 H139:H165 F8:F102 H8:H102 H114:H132 F114:F132">
    <cfRule type="cellIs" dxfId="203" priority="13" operator="equal">
      <formula>"Fail"</formula>
    </cfRule>
    <cfRule type="cellIs" dxfId="202" priority="14" operator="equal">
      <formula>"Pass"</formula>
    </cfRule>
  </conditionalFormatting>
  <conditionalFormatting sqref="F133:F135 H133:H135">
    <cfRule type="cellIs" dxfId="201" priority="11" operator="equal">
      <formula>"Fail"</formula>
    </cfRule>
    <cfRule type="cellIs" dxfId="200" priority="12" operator="equal">
      <formula>"Pass"</formula>
    </cfRule>
  </conditionalFormatting>
  <conditionalFormatting sqref="F136:F138 H136:H138">
    <cfRule type="cellIs" dxfId="199" priority="7" operator="equal">
      <formula>"Fail"</formula>
    </cfRule>
    <cfRule type="cellIs" dxfId="198" priority="8" operator="equal">
      <formula>"Pass"</formula>
    </cfRule>
  </conditionalFormatting>
  <conditionalFormatting sqref="F6:F7 H6:H7">
    <cfRule type="cellIs" dxfId="197" priority="5" operator="equal">
      <formula>"Fail"</formula>
    </cfRule>
    <cfRule type="cellIs" dxfId="196" priority="6" operator="equal">
      <formula>"Pass"</formula>
    </cfRule>
  </conditionalFormatting>
  <conditionalFormatting sqref="F103:F113 H103:H113">
    <cfRule type="cellIs" dxfId="195" priority="3" operator="equal">
      <formula>"Fail"</formula>
    </cfRule>
    <cfRule type="cellIs" dxfId="194" priority="4" operator="equal">
      <formula>"Pass"</formula>
    </cfRule>
  </conditionalFormatting>
  <conditionalFormatting sqref="E1:E3">
    <cfRule type="cellIs" dxfId="193" priority="1" operator="equal">
      <formula>"Fail"</formula>
    </cfRule>
    <cfRule type="cellIs" dxfId="19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E6:E165">
      <formula1>Control_List</formula1>
    </dataValidation>
    <dataValidation type="list" allowBlank="1" showInputMessage="1" showErrorMessage="1" sqref="F6:F165 H6:H165">
      <formula1>Result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7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599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600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62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62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304</v>
      </c>
      <c r="C6" s="16" t="s">
        <v>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67" si="0">+A6+1</f>
        <v>2</v>
      </c>
      <c r="B7" s="16"/>
      <c r="C7" s="16" t="s">
        <v>60</v>
      </c>
      <c r="D7" s="16"/>
      <c r="E7" s="17" t="s">
        <v>158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61</v>
      </c>
      <c r="D8" s="16"/>
      <c r="E8" s="17" t="s">
        <v>158</v>
      </c>
      <c r="F8" s="18"/>
      <c r="G8" s="19"/>
      <c r="H8" s="54"/>
    </row>
    <row r="9" spans="1:8" ht="37.5" x14ac:dyDescent="0.25">
      <c r="A9" s="14">
        <f t="shared" si="0"/>
        <v>4</v>
      </c>
      <c r="B9" s="16" t="s">
        <v>305</v>
      </c>
      <c r="C9" s="16" t="s">
        <v>28</v>
      </c>
      <c r="D9" s="16"/>
      <c r="E9" s="17" t="s">
        <v>158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29</v>
      </c>
      <c r="D10" s="16"/>
      <c r="E10" s="17" t="s">
        <v>158</v>
      </c>
      <c r="F10" s="18"/>
      <c r="G10" s="19"/>
      <c r="H10" s="54"/>
    </row>
    <row r="11" spans="1:8" ht="37.5" x14ac:dyDescent="0.25">
      <c r="A11" s="14">
        <f t="shared" si="0"/>
        <v>6</v>
      </c>
      <c r="B11" s="16" t="s">
        <v>306</v>
      </c>
      <c r="C11" s="16" t="s">
        <v>62</v>
      </c>
      <c r="D11" s="16"/>
      <c r="E11" s="17" t="s">
        <v>90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281</v>
      </c>
      <c r="D12" s="16"/>
      <c r="E12" s="17" t="s">
        <v>120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282</v>
      </c>
      <c r="D13" s="16"/>
      <c r="E13" s="17" t="s">
        <v>158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283</v>
      </c>
      <c r="D14" s="16"/>
      <c r="E14" s="17" t="s">
        <v>158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284</v>
      </c>
      <c r="D15" s="16"/>
      <c r="E15" s="17" t="s">
        <v>158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285</v>
      </c>
      <c r="D16" s="16"/>
      <c r="E16" s="17" t="s">
        <v>158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132</v>
      </c>
      <c r="D17" s="16"/>
      <c r="E17" s="17" t="s">
        <v>158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139</v>
      </c>
      <c r="D18" s="16"/>
      <c r="E18" s="17" t="s">
        <v>158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140</v>
      </c>
      <c r="D19" s="16"/>
      <c r="E19" s="17" t="s">
        <v>158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141</v>
      </c>
      <c r="D20" s="16"/>
      <c r="E20" s="17" t="s">
        <v>158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235</v>
      </c>
      <c r="D21" s="16"/>
      <c r="E21" s="17" t="s">
        <v>120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286</v>
      </c>
      <c r="D22" s="16"/>
      <c r="E22" s="17" t="s">
        <v>286</v>
      </c>
      <c r="F22" s="18"/>
      <c r="G22" s="19"/>
      <c r="H22" s="54"/>
    </row>
    <row r="23" spans="1:8" ht="18.75" x14ac:dyDescent="0.25">
      <c r="A23" s="14">
        <f t="shared" si="0"/>
        <v>18</v>
      </c>
      <c r="B23" s="16" t="s">
        <v>287</v>
      </c>
      <c r="C23" s="16" t="s">
        <v>281</v>
      </c>
      <c r="D23" s="16"/>
      <c r="E23" s="17" t="s">
        <v>120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 t="s">
        <v>290</v>
      </c>
      <c r="D24" s="16"/>
      <c r="E24" s="17" t="s">
        <v>90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16" t="s">
        <v>289</v>
      </c>
      <c r="D25" s="16"/>
      <c r="E25" s="17" t="s">
        <v>288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299</v>
      </c>
      <c r="D26" s="16"/>
      <c r="E26" s="17" t="s">
        <v>288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291</v>
      </c>
      <c r="D27" s="16"/>
      <c r="E27" s="17" t="s">
        <v>288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296</v>
      </c>
      <c r="D28" s="16"/>
      <c r="E28" s="17" t="s">
        <v>89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 t="s">
        <v>297</v>
      </c>
      <c r="D29" s="16"/>
      <c r="E29" s="17" t="s">
        <v>286</v>
      </c>
      <c r="F29" s="18"/>
      <c r="G29" s="19"/>
      <c r="H29" s="54"/>
    </row>
    <row r="30" spans="1:8" ht="37.5" x14ac:dyDescent="0.25">
      <c r="A30" s="14">
        <f t="shared" si="0"/>
        <v>25</v>
      </c>
      <c r="B30" s="16"/>
      <c r="C30" s="16" t="s">
        <v>298</v>
      </c>
      <c r="D30" s="16"/>
      <c r="E30" s="17" t="s">
        <v>286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300</v>
      </c>
      <c r="D31" s="16"/>
      <c r="E31" s="17" t="s">
        <v>95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301</v>
      </c>
      <c r="D32" s="16"/>
      <c r="E32" s="17" t="s">
        <v>95</v>
      </c>
      <c r="F32" s="18"/>
      <c r="G32" s="19"/>
      <c r="H32" s="54"/>
    </row>
    <row r="33" spans="1:8" ht="37.5" x14ac:dyDescent="0.25">
      <c r="A33" s="14">
        <f t="shared" si="0"/>
        <v>28</v>
      </c>
      <c r="B33" s="16" t="s">
        <v>307</v>
      </c>
      <c r="C33" s="16" t="s">
        <v>292</v>
      </c>
      <c r="D33" s="16"/>
      <c r="E33" s="17" t="s">
        <v>120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 t="s">
        <v>282</v>
      </c>
      <c r="D34" s="16"/>
      <c r="E34" s="17" t="s">
        <v>158</v>
      </c>
      <c r="F34" s="18"/>
      <c r="G34" s="19"/>
      <c r="H34" s="54"/>
    </row>
    <row r="35" spans="1:8" ht="18.75" x14ac:dyDescent="0.25">
      <c r="A35" s="14">
        <f t="shared" si="0"/>
        <v>30</v>
      </c>
      <c r="B35" s="16"/>
      <c r="C35" s="16" t="s">
        <v>283</v>
      </c>
      <c r="D35" s="16"/>
      <c r="E35" s="17" t="s">
        <v>158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 t="s">
        <v>284</v>
      </c>
      <c r="D36" s="16"/>
      <c r="E36" s="17" t="s">
        <v>158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 t="s">
        <v>285</v>
      </c>
      <c r="D37" s="16"/>
      <c r="E37" s="17" t="s">
        <v>158</v>
      </c>
      <c r="F37" s="18"/>
      <c r="G37" s="19"/>
      <c r="H37" s="54"/>
    </row>
    <row r="38" spans="1:8" ht="18.75" x14ac:dyDescent="0.25">
      <c r="A38" s="14">
        <f t="shared" si="0"/>
        <v>33</v>
      </c>
      <c r="B38" s="16"/>
      <c r="C38" s="16" t="s">
        <v>132</v>
      </c>
      <c r="D38" s="16"/>
      <c r="E38" s="17" t="s">
        <v>158</v>
      </c>
      <c r="F38" s="18"/>
      <c r="G38" s="19"/>
      <c r="H38" s="54"/>
    </row>
    <row r="39" spans="1:8" ht="18.75" x14ac:dyDescent="0.25">
      <c r="A39" s="14">
        <f t="shared" si="0"/>
        <v>34</v>
      </c>
      <c r="B39" s="16"/>
      <c r="C39" s="16" t="s">
        <v>139</v>
      </c>
      <c r="D39" s="16"/>
      <c r="E39" s="17" t="s">
        <v>158</v>
      </c>
      <c r="F39" s="18"/>
      <c r="G39" s="19"/>
      <c r="H39" s="54"/>
    </row>
    <row r="40" spans="1:8" ht="18.75" x14ac:dyDescent="0.25">
      <c r="A40" s="14">
        <f t="shared" si="0"/>
        <v>35</v>
      </c>
      <c r="B40" s="16"/>
      <c r="C40" s="16" t="s">
        <v>140</v>
      </c>
      <c r="D40" s="16"/>
      <c r="E40" s="17" t="s">
        <v>158</v>
      </c>
      <c r="F40" s="18"/>
      <c r="G40" s="19"/>
      <c r="H40" s="54"/>
    </row>
    <row r="41" spans="1:8" ht="18.75" x14ac:dyDescent="0.25">
      <c r="A41" s="14">
        <f t="shared" si="0"/>
        <v>36</v>
      </c>
      <c r="B41" s="16"/>
      <c r="C41" s="16" t="s">
        <v>141</v>
      </c>
      <c r="D41" s="16"/>
      <c r="E41" s="17" t="s">
        <v>158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235</v>
      </c>
      <c r="D42" s="16"/>
      <c r="E42" s="17" t="s">
        <v>120</v>
      </c>
      <c r="F42" s="18"/>
      <c r="G42" s="19"/>
      <c r="H42" s="54"/>
    </row>
    <row r="43" spans="1:8" ht="18.75" x14ac:dyDescent="0.25">
      <c r="A43" s="14">
        <f t="shared" si="0"/>
        <v>38</v>
      </c>
      <c r="B43" s="16"/>
      <c r="C43" s="16" t="s">
        <v>286</v>
      </c>
      <c r="D43" s="16"/>
      <c r="E43" s="17" t="s">
        <v>286</v>
      </c>
      <c r="F43" s="18"/>
      <c r="G43" s="19"/>
      <c r="H43" s="54"/>
    </row>
    <row r="44" spans="1:8" ht="37.5" x14ac:dyDescent="0.25">
      <c r="A44" s="14">
        <f t="shared" si="0"/>
        <v>39</v>
      </c>
      <c r="B44" s="16" t="s">
        <v>308</v>
      </c>
      <c r="C44" s="16" t="s">
        <v>293</v>
      </c>
      <c r="D44" s="16"/>
      <c r="E44" s="17" t="s">
        <v>91</v>
      </c>
      <c r="F44" s="18"/>
      <c r="G44" s="19"/>
      <c r="H44" s="54"/>
    </row>
    <row r="45" spans="1:8" ht="18.75" x14ac:dyDescent="0.25">
      <c r="A45" s="14">
        <f t="shared" si="0"/>
        <v>40</v>
      </c>
      <c r="B45" s="16"/>
      <c r="C45" s="16" t="s">
        <v>294</v>
      </c>
      <c r="D45" s="16"/>
      <c r="E45" s="17" t="s">
        <v>101</v>
      </c>
      <c r="F45" s="18"/>
      <c r="G45" s="19"/>
      <c r="H45" s="54"/>
    </row>
    <row r="46" spans="1:8" ht="18.75" x14ac:dyDescent="0.25">
      <c r="A46" s="14">
        <f t="shared" si="0"/>
        <v>41</v>
      </c>
      <c r="B46" s="16"/>
      <c r="C46" s="16" t="s">
        <v>295</v>
      </c>
      <c r="D46" s="16"/>
      <c r="E46" s="17" t="s">
        <v>95</v>
      </c>
      <c r="F46" s="18"/>
      <c r="G46" s="19"/>
      <c r="H46" s="54"/>
    </row>
    <row r="47" spans="1:8" ht="18.75" x14ac:dyDescent="0.25">
      <c r="A47" s="14">
        <f t="shared" si="0"/>
        <v>42</v>
      </c>
      <c r="B47" s="16"/>
      <c r="C47" s="16"/>
      <c r="D47" s="16" t="s">
        <v>339</v>
      </c>
      <c r="E47" s="17" t="s">
        <v>90</v>
      </c>
      <c r="F47" s="18"/>
      <c r="G47" s="19"/>
      <c r="H47" s="54"/>
    </row>
    <row r="48" spans="1:8" ht="18.75" x14ac:dyDescent="0.25">
      <c r="A48" s="14">
        <f t="shared" si="0"/>
        <v>43</v>
      </c>
      <c r="B48" s="16"/>
      <c r="C48" s="16"/>
      <c r="D48" s="16" t="s">
        <v>340</v>
      </c>
      <c r="E48" s="17" t="s">
        <v>90</v>
      </c>
      <c r="F48" s="18"/>
      <c r="G48" s="19"/>
      <c r="H48" s="54"/>
    </row>
    <row r="49" spans="1:8" ht="18.75" x14ac:dyDescent="0.25">
      <c r="A49" s="14">
        <f t="shared" si="0"/>
        <v>44</v>
      </c>
      <c r="B49" s="16"/>
      <c r="C49" s="16" t="s">
        <v>64</v>
      </c>
      <c r="D49" s="16"/>
      <c r="E49" s="17" t="s">
        <v>95</v>
      </c>
      <c r="F49" s="18"/>
      <c r="G49" s="19"/>
      <c r="H49" s="54"/>
    </row>
    <row r="50" spans="1:8" ht="37.5" x14ac:dyDescent="0.25">
      <c r="A50" s="14">
        <f t="shared" si="0"/>
        <v>45</v>
      </c>
      <c r="B50" s="16" t="s">
        <v>309</v>
      </c>
      <c r="C50" s="16" t="s">
        <v>290</v>
      </c>
      <c r="D50" s="16"/>
      <c r="E50" s="17" t="s">
        <v>90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 t="s">
        <v>289</v>
      </c>
      <c r="D51" s="16"/>
      <c r="E51" s="17" t="s">
        <v>288</v>
      </c>
      <c r="F51" s="18"/>
      <c r="G51" s="19"/>
      <c r="H51" s="54"/>
    </row>
    <row r="52" spans="1:8" ht="18.75" x14ac:dyDescent="0.25">
      <c r="A52" s="14">
        <f t="shared" si="0"/>
        <v>47</v>
      </c>
      <c r="B52" s="16"/>
      <c r="C52" s="16" t="s">
        <v>299</v>
      </c>
      <c r="D52" s="16"/>
      <c r="E52" s="17" t="s">
        <v>288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 t="s">
        <v>291</v>
      </c>
      <c r="D53" s="16"/>
      <c r="E53" s="17" t="s">
        <v>288</v>
      </c>
      <c r="F53" s="18"/>
      <c r="G53" s="19"/>
      <c r="H53" s="54"/>
    </row>
    <row r="54" spans="1:8" ht="18.75" x14ac:dyDescent="0.25">
      <c r="A54" s="14">
        <f t="shared" si="0"/>
        <v>49</v>
      </c>
      <c r="B54" s="16"/>
      <c r="C54" s="16" t="s">
        <v>296</v>
      </c>
      <c r="D54" s="16"/>
      <c r="E54" s="17" t="s">
        <v>89</v>
      </c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 t="s">
        <v>297</v>
      </c>
      <c r="D55" s="16"/>
      <c r="E55" s="17" t="s">
        <v>286</v>
      </c>
      <c r="F55" s="18"/>
      <c r="G55" s="19"/>
      <c r="H55" s="54"/>
    </row>
    <row r="56" spans="1:8" ht="37.5" x14ac:dyDescent="0.25">
      <c r="A56" s="14">
        <f t="shared" si="0"/>
        <v>51</v>
      </c>
      <c r="B56" s="16"/>
      <c r="C56" s="16" t="s">
        <v>298</v>
      </c>
      <c r="D56" s="16"/>
      <c r="E56" s="17" t="s">
        <v>286</v>
      </c>
      <c r="F56" s="18"/>
      <c r="G56" s="19"/>
      <c r="H56" s="54"/>
    </row>
    <row r="57" spans="1:8" ht="37.5" x14ac:dyDescent="0.25">
      <c r="A57" s="14">
        <f t="shared" si="0"/>
        <v>52</v>
      </c>
      <c r="B57" s="16" t="s">
        <v>310</v>
      </c>
      <c r="C57" s="16" t="s">
        <v>165</v>
      </c>
      <c r="D57" s="16"/>
      <c r="E57" s="17" t="s">
        <v>120</v>
      </c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/>
      <c r="D58" s="16" t="s">
        <v>169</v>
      </c>
      <c r="E58" s="17" t="s">
        <v>185</v>
      </c>
      <c r="F58" s="18"/>
      <c r="G58" s="19"/>
      <c r="H58" s="54"/>
    </row>
    <row r="59" spans="1:8" ht="18.75" x14ac:dyDescent="0.25">
      <c r="A59" s="14">
        <f t="shared" si="0"/>
        <v>54</v>
      </c>
      <c r="B59" s="16"/>
      <c r="C59" s="16"/>
      <c r="D59" s="16" t="s">
        <v>171</v>
      </c>
      <c r="E59" s="17" t="s">
        <v>185</v>
      </c>
      <c r="F59" s="18"/>
      <c r="G59" s="19"/>
      <c r="H59" s="54"/>
    </row>
    <row r="60" spans="1:8" ht="18.75" x14ac:dyDescent="0.25">
      <c r="A60" s="14">
        <f t="shared" si="0"/>
        <v>55</v>
      </c>
      <c r="B60" s="16"/>
      <c r="C60" s="16"/>
      <c r="D60" s="16" t="s">
        <v>172</v>
      </c>
      <c r="E60" s="17" t="s">
        <v>185</v>
      </c>
      <c r="F60" s="18"/>
      <c r="G60" s="19"/>
      <c r="H60" s="54"/>
    </row>
    <row r="61" spans="1:8" ht="18.75" x14ac:dyDescent="0.25">
      <c r="A61" s="14">
        <f t="shared" si="0"/>
        <v>56</v>
      </c>
      <c r="B61" s="16"/>
      <c r="C61" s="16" t="s">
        <v>54</v>
      </c>
      <c r="D61" s="16"/>
      <c r="E61" s="17" t="s">
        <v>89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 t="s">
        <v>302</v>
      </c>
      <c r="D62" s="16"/>
      <c r="E62" s="17" t="s">
        <v>95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 t="s">
        <v>303</v>
      </c>
      <c r="D63" s="16"/>
      <c r="E63" s="17" t="s">
        <v>95</v>
      </c>
      <c r="F63" s="18"/>
      <c r="G63" s="19"/>
      <c r="H63" s="54"/>
    </row>
    <row r="64" spans="1:8" ht="37.5" x14ac:dyDescent="0.25">
      <c r="A64" s="14">
        <f t="shared" si="0"/>
        <v>59</v>
      </c>
      <c r="B64" s="16" t="s">
        <v>311</v>
      </c>
      <c r="C64" s="16" t="s">
        <v>385</v>
      </c>
      <c r="D64" s="16"/>
      <c r="E64" s="17" t="s">
        <v>91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 t="s">
        <v>295</v>
      </c>
      <c r="D65" s="16"/>
      <c r="E65" s="17" t="s">
        <v>95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/>
      <c r="D66" s="16" t="s">
        <v>339</v>
      </c>
      <c r="E66" s="17" t="s">
        <v>90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/>
      <c r="D67" s="16" t="s">
        <v>340</v>
      </c>
      <c r="E67" s="17" t="s">
        <v>90</v>
      </c>
      <c r="F67" s="18"/>
      <c r="G67" s="19"/>
      <c r="H67" s="54"/>
    </row>
  </sheetData>
  <autoFilter ref="A5:H67"/>
  <conditionalFormatting sqref="F5 F8:F1048576">
    <cfRule type="cellIs" dxfId="191" priority="5" operator="equal">
      <formula>"Fail"</formula>
    </cfRule>
    <cfRule type="cellIs" dxfId="190" priority="6" operator="equal">
      <formula>"Pass"</formula>
    </cfRule>
  </conditionalFormatting>
  <conditionalFormatting sqref="F6:F7">
    <cfRule type="cellIs" dxfId="189" priority="3" operator="equal">
      <formula>"Fail"</formula>
    </cfRule>
    <cfRule type="cellIs" dxfId="188" priority="4" operator="equal">
      <formula>"Pass"</formula>
    </cfRule>
  </conditionalFormatting>
  <conditionalFormatting sqref="E1:E3">
    <cfRule type="cellIs" dxfId="187" priority="1" operator="equal">
      <formula>"Fail"</formula>
    </cfRule>
    <cfRule type="cellIs" dxfId="186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67">
      <formula1>Result</formula1>
    </dataValidation>
    <dataValidation type="list" allowBlank="1" showInputMessage="1" showErrorMessage="1" sqref="E6:E67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2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570312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599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600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27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27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312</v>
      </c>
      <c r="C6" s="16" t="s">
        <v>313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32" si="0">+A6+1</f>
        <v>2</v>
      </c>
      <c r="B7" s="16"/>
      <c r="C7" s="16" t="s">
        <v>19</v>
      </c>
      <c r="D7" s="16"/>
      <c r="E7" s="17" t="s">
        <v>158</v>
      </c>
      <c r="F7" s="18"/>
      <c r="G7" s="19"/>
      <c r="H7" s="54"/>
    </row>
    <row r="8" spans="1:8" ht="37.5" x14ac:dyDescent="0.25">
      <c r="A8" s="14">
        <f t="shared" si="0"/>
        <v>3</v>
      </c>
      <c r="B8" s="16" t="s">
        <v>314</v>
      </c>
      <c r="C8" s="16" t="s">
        <v>315</v>
      </c>
      <c r="D8" s="16"/>
      <c r="E8" s="17" t="s">
        <v>91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269</v>
      </c>
      <c r="D9" s="16"/>
      <c r="E9" s="17" t="s">
        <v>101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316</v>
      </c>
      <c r="D10" s="16"/>
      <c r="E10" s="17" t="s">
        <v>116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317</v>
      </c>
      <c r="D11" s="16"/>
      <c r="E11" s="17" t="s">
        <v>91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318</v>
      </c>
      <c r="D12" s="16"/>
      <c r="E12" s="17" t="s">
        <v>91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319</v>
      </c>
      <c r="D13" s="16"/>
      <c r="E13" s="17" t="s">
        <v>116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/>
      <c r="D14" s="16" t="s">
        <v>126</v>
      </c>
      <c r="E14" s="17" t="s">
        <v>90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/>
      <c r="D15" s="16" t="s">
        <v>127</v>
      </c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321</v>
      </c>
      <c r="D16" s="16"/>
      <c r="E16" s="17" t="s">
        <v>95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/>
      <c r="D17" s="16" t="s">
        <v>339</v>
      </c>
      <c r="E17" s="17" t="s">
        <v>90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/>
      <c r="D18" s="16" t="s">
        <v>340</v>
      </c>
      <c r="E18" s="17" t="s">
        <v>90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256</v>
      </c>
      <c r="D19" s="16"/>
      <c r="E19" s="17" t="s">
        <v>101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320</v>
      </c>
      <c r="D20" s="16"/>
      <c r="E20" s="17" t="s">
        <v>89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115</v>
      </c>
      <c r="D21" s="16"/>
      <c r="E21" s="17" t="s">
        <v>90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322</v>
      </c>
      <c r="D22" s="16"/>
      <c r="E22" s="17" t="s">
        <v>101</v>
      </c>
      <c r="F22" s="18"/>
      <c r="G22" s="19"/>
      <c r="H22" s="54"/>
    </row>
    <row r="23" spans="1:8" ht="56.25" x14ac:dyDescent="0.25">
      <c r="A23" s="14">
        <f t="shared" si="0"/>
        <v>18</v>
      </c>
      <c r="B23" s="16" t="s">
        <v>323</v>
      </c>
      <c r="C23" s="16" t="s">
        <v>386</v>
      </c>
      <c r="D23" s="16"/>
      <c r="E23" s="17" t="s">
        <v>91</v>
      </c>
      <c r="F23" s="18"/>
      <c r="G23" s="19"/>
      <c r="H23" s="54"/>
    </row>
    <row r="24" spans="1:8" ht="56.25" x14ac:dyDescent="0.25">
      <c r="A24" s="14">
        <f t="shared" si="0"/>
        <v>19</v>
      </c>
      <c r="B24" s="16" t="s">
        <v>324</v>
      </c>
      <c r="C24" s="16" t="s">
        <v>387</v>
      </c>
      <c r="D24" s="16"/>
      <c r="E24" s="17" t="s">
        <v>91</v>
      </c>
      <c r="F24" s="18"/>
      <c r="G24" s="19"/>
      <c r="H24" s="54"/>
    </row>
    <row r="25" spans="1:8" ht="37.5" x14ac:dyDescent="0.25">
      <c r="A25" s="14">
        <f t="shared" si="0"/>
        <v>20</v>
      </c>
      <c r="B25" s="16" t="s">
        <v>325</v>
      </c>
      <c r="C25" s="16" t="s">
        <v>315</v>
      </c>
      <c r="D25" s="16"/>
      <c r="E25" s="17" t="s">
        <v>91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269</v>
      </c>
      <c r="D26" s="16"/>
      <c r="E26" s="17" t="s">
        <v>101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316</v>
      </c>
      <c r="D27" s="16"/>
      <c r="E27" s="17" t="s">
        <v>116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317</v>
      </c>
      <c r="D28" s="16"/>
      <c r="E28" s="17" t="s">
        <v>91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 t="s">
        <v>326</v>
      </c>
      <c r="D29" s="16"/>
      <c r="E29" s="17" t="s">
        <v>91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 t="s">
        <v>256</v>
      </c>
      <c r="D30" s="16"/>
      <c r="E30" s="17" t="s">
        <v>101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322</v>
      </c>
      <c r="D31" s="16"/>
      <c r="E31" s="17" t="s">
        <v>101</v>
      </c>
      <c r="F31" s="18"/>
      <c r="G31" s="19"/>
      <c r="H31" s="54"/>
    </row>
    <row r="32" spans="1:8" ht="56.25" x14ac:dyDescent="0.25">
      <c r="A32" s="14">
        <f t="shared" si="0"/>
        <v>27</v>
      </c>
      <c r="B32" s="16" t="s">
        <v>323</v>
      </c>
      <c r="C32" s="16" t="s">
        <v>386</v>
      </c>
      <c r="D32" s="16"/>
      <c r="E32" s="17" t="s">
        <v>91</v>
      </c>
      <c r="F32" s="18"/>
      <c r="G32" s="19"/>
      <c r="H32" s="54"/>
    </row>
  </sheetData>
  <autoFilter ref="A5:H32"/>
  <conditionalFormatting sqref="F5 F8:F1048576">
    <cfRule type="cellIs" dxfId="185" priority="5" operator="equal">
      <formula>"Fail"</formula>
    </cfRule>
    <cfRule type="cellIs" dxfId="184" priority="6" operator="equal">
      <formula>"Pass"</formula>
    </cfRule>
  </conditionalFormatting>
  <conditionalFormatting sqref="F6:F7">
    <cfRule type="cellIs" dxfId="183" priority="3" operator="equal">
      <formula>"Fail"</formula>
    </cfRule>
    <cfRule type="cellIs" dxfId="182" priority="4" operator="equal">
      <formula>"Pass"</formula>
    </cfRule>
  </conditionalFormatting>
  <conditionalFormatting sqref="E1:E3">
    <cfRule type="cellIs" dxfId="181" priority="1" operator="equal">
      <formula>"Fail"</formula>
    </cfRule>
    <cfRule type="cellIs" dxfId="180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32">
      <formula1>Result</formula1>
    </dataValidation>
    <dataValidation type="list" allowBlank="1" showInputMessage="1" showErrorMessage="1" sqref="E6:E32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4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570312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599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600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19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19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327</v>
      </c>
      <c r="C6" s="16" t="s">
        <v>15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24" si="0">+A6+1</f>
        <v>2</v>
      </c>
      <c r="B7" s="16"/>
      <c r="C7" s="16" t="s">
        <v>23</v>
      </c>
      <c r="D7" s="16"/>
      <c r="E7" s="17" t="s">
        <v>158</v>
      </c>
      <c r="F7" s="18"/>
      <c r="G7" s="19"/>
      <c r="H7" s="54"/>
    </row>
    <row r="8" spans="1:8" ht="37.5" x14ac:dyDescent="0.25">
      <c r="A8" s="14">
        <f t="shared" si="0"/>
        <v>3</v>
      </c>
      <c r="B8" s="16" t="s">
        <v>328</v>
      </c>
      <c r="C8" s="16" t="s">
        <v>319</v>
      </c>
      <c r="D8" s="16"/>
      <c r="E8" s="17" t="s">
        <v>90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329</v>
      </c>
      <c r="D9" s="16"/>
      <c r="E9" s="17" t="s">
        <v>91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/>
      <c r="D10" s="16" t="s">
        <v>332</v>
      </c>
      <c r="E10" s="17" t="s">
        <v>334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/>
      <c r="D11" s="16" t="s">
        <v>333</v>
      </c>
      <c r="E11" s="17" t="s">
        <v>334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330</v>
      </c>
      <c r="D12" s="16"/>
      <c r="E12" s="17" t="s">
        <v>95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/>
      <c r="D13" s="16" t="s">
        <v>339</v>
      </c>
      <c r="E13" s="17" t="s">
        <v>90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/>
      <c r="D14" s="16" t="s">
        <v>340</v>
      </c>
      <c r="E14" s="17" t="s">
        <v>90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331</v>
      </c>
      <c r="D15" s="16"/>
      <c r="E15" s="17" t="s">
        <v>95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/>
      <c r="D16" s="16" t="s">
        <v>335</v>
      </c>
      <c r="E16" s="17" t="s">
        <v>89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/>
      <c r="D17" s="16" t="s">
        <v>336</v>
      </c>
      <c r="E17" s="17" t="s">
        <v>95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/>
      <c r="D18" s="16" t="s">
        <v>337</v>
      </c>
      <c r="E18" s="17" t="s">
        <v>95</v>
      </c>
      <c r="F18" s="18"/>
      <c r="G18" s="19"/>
      <c r="H18" s="54"/>
    </row>
    <row r="19" spans="1:8" ht="37.5" x14ac:dyDescent="0.25">
      <c r="A19" s="14">
        <f t="shared" si="0"/>
        <v>14</v>
      </c>
      <c r="B19" s="16" t="s">
        <v>338</v>
      </c>
      <c r="C19" s="16" t="s">
        <v>329</v>
      </c>
      <c r="D19" s="16"/>
      <c r="E19" s="17" t="s">
        <v>91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/>
      <c r="D20" s="16" t="s">
        <v>332</v>
      </c>
      <c r="E20" s="17" t="s">
        <v>334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/>
      <c r="D21" s="16" t="s">
        <v>333</v>
      </c>
      <c r="E21" s="17" t="s">
        <v>334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330</v>
      </c>
      <c r="D22" s="16"/>
      <c r="E22" s="17" t="s">
        <v>95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/>
      <c r="D23" s="16" t="s">
        <v>339</v>
      </c>
      <c r="E23" s="17" t="s">
        <v>90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/>
      <c r="D24" s="16" t="s">
        <v>340</v>
      </c>
      <c r="E24" s="17" t="s">
        <v>90</v>
      </c>
      <c r="F24" s="18"/>
      <c r="G24" s="19"/>
      <c r="H24" s="54"/>
    </row>
  </sheetData>
  <autoFilter ref="A5:H24"/>
  <conditionalFormatting sqref="F5 F8:F1048576">
    <cfRule type="cellIs" dxfId="179" priority="5" operator="equal">
      <formula>"Fail"</formula>
    </cfRule>
    <cfRule type="cellIs" dxfId="178" priority="6" operator="equal">
      <formula>"Pass"</formula>
    </cfRule>
  </conditionalFormatting>
  <conditionalFormatting sqref="F6:F7">
    <cfRule type="cellIs" dxfId="177" priority="3" operator="equal">
      <formula>"Fail"</formula>
    </cfRule>
    <cfRule type="cellIs" dxfId="176" priority="4" operator="equal">
      <formula>"Pass"</formula>
    </cfRule>
  </conditionalFormatting>
  <conditionalFormatting sqref="E1:E3">
    <cfRule type="cellIs" dxfId="175" priority="1" operator="equal">
      <formula>"Fail"</formula>
    </cfRule>
    <cfRule type="cellIs" dxfId="174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24">
      <formula1>Result</formula1>
    </dataValidation>
    <dataValidation type="list" allowBlank="1" showInputMessage="1" showErrorMessage="1" sqref="E6:E24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5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599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600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10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10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341</v>
      </c>
      <c r="C6" s="16" t="s">
        <v>24</v>
      </c>
      <c r="D6" s="16"/>
      <c r="E6" s="17" t="s">
        <v>342</v>
      </c>
      <c r="F6" s="18"/>
      <c r="G6" s="19"/>
      <c r="H6" s="54"/>
    </row>
    <row r="7" spans="1:8" ht="18.75" x14ac:dyDescent="0.25">
      <c r="A7" s="14">
        <f t="shared" ref="A7:A15" si="0">+A6+1</f>
        <v>2</v>
      </c>
      <c r="B7" s="16"/>
      <c r="C7" s="16" t="s">
        <v>343</v>
      </c>
      <c r="D7" s="16"/>
      <c r="E7" s="17" t="s">
        <v>90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344</v>
      </c>
      <c r="D8" s="16"/>
      <c r="E8" s="17" t="s">
        <v>90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345</v>
      </c>
      <c r="D9" s="16"/>
      <c r="E9" s="17" t="s">
        <v>90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346</v>
      </c>
      <c r="D10" s="16"/>
      <c r="E10" s="17" t="s">
        <v>101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347</v>
      </c>
      <c r="D11" s="16"/>
      <c r="E11" s="17" t="s">
        <v>91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53</v>
      </c>
      <c r="D12" s="16"/>
      <c r="E12" s="17" t="s">
        <v>91</v>
      </c>
      <c r="F12" s="18"/>
      <c r="G12" s="19"/>
      <c r="H12" s="54"/>
    </row>
    <row r="13" spans="1:8" ht="37.5" x14ac:dyDescent="0.25">
      <c r="A13" s="14">
        <f t="shared" si="0"/>
        <v>8</v>
      </c>
      <c r="B13" s="16"/>
      <c r="C13" s="16"/>
      <c r="D13" s="16" t="s">
        <v>388</v>
      </c>
      <c r="E13" s="17"/>
      <c r="F13" s="18"/>
      <c r="G13" s="19"/>
      <c r="H13" s="54"/>
    </row>
    <row r="14" spans="1:8" ht="56.25" x14ac:dyDescent="0.25">
      <c r="A14" s="14">
        <f t="shared" si="0"/>
        <v>9</v>
      </c>
      <c r="B14" s="16" t="s">
        <v>349</v>
      </c>
      <c r="C14" s="16" t="s">
        <v>389</v>
      </c>
      <c r="D14" s="16"/>
      <c r="E14" s="17"/>
      <c r="F14" s="18"/>
      <c r="G14" s="19"/>
      <c r="H14" s="54"/>
    </row>
    <row r="15" spans="1:8" ht="56.25" x14ac:dyDescent="0.25">
      <c r="A15" s="14">
        <f t="shared" si="0"/>
        <v>10</v>
      </c>
      <c r="B15" s="16" t="s">
        <v>348</v>
      </c>
      <c r="C15" s="16" t="s">
        <v>386</v>
      </c>
      <c r="D15" s="16"/>
      <c r="E15" s="17"/>
      <c r="F15" s="18"/>
      <c r="G15" s="19"/>
      <c r="H15" s="54"/>
    </row>
  </sheetData>
  <autoFilter ref="A5:H15"/>
  <conditionalFormatting sqref="F5 F8:F1048576">
    <cfRule type="cellIs" dxfId="173" priority="5" operator="equal">
      <formula>"Fail"</formula>
    </cfRule>
    <cfRule type="cellIs" dxfId="172" priority="6" operator="equal">
      <formula>"Pass"</formula>
    </cfRule>
  </conditionalFormatting>
  <conditionalFormatting sqref="F6:F7">
    <cfRule type="cellIs" dxfId="171" priority="3" operator="equal">
      <formula>"Fail"</formula>
    </cfRule>
    <cfRule type="cellIs" dxfId="170" priority="4" operator="equal">
      <formula>"Pass"</formula>
    </cfRule>
  </conditionalFormatting>
  <conditionalFormatting sqref="E1:E3">
    <cfRule type="cellIs" dxfId="169" priority="1" operator="equal">
      <formula>"Fail"</formula>
    </cfRule>
    <cfRule type="cellIs" dxfId="168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5">
      <formula1>Result</formula1>
    </dataValidation>
    <dataValidation type="list" allowBlank="1" showInputMessage="1" showErrorMessage="1" sqref="E6:E15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599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600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8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8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350</v>
      </c>
      <c r="C6" s="16" t="s">
        <v>351</v>
      </c>
      <c r="D6" s="16"/>
      <c r="E6" s="17" t="s">
        <v>101</v>
      </c>
      <c r="F6" s="18"/>
      <c r="G6" s="19"/>
      <c r="H6" s="54"/>
    </row>
    <row r="7" spans="1:8" ht="18.75" x14ac:dyDescent="0.25">
      <c r="A7" s="14">
        <f t="shared" ref="A7:A13" si="0">+A6+1</f>
        <v>2</v>
      </c>
      <c r="B7" s="16"/>
      <c r="C7" s="16"/>
      <c r="D7" s="16" t="s">
        <v>354</v>
      </c>
      <c r="E7" s="17" t="s">
        <v>101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/>
      <c r="D8" s="16" t="s">
        <v>355</v>
      </c>
      <c r="E8" s="17" t="s">
        <v>101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/>
      <c r="D9" s="16" t="s">
        <v>353</v>
      </c>
      <c r="E9" s="17" t="s">
        <v>101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/>
      <c r="D10" s="16" t="s">
        <v>38</v>
      </c>
      <c r="E10" s="17" t="s">
        <v>101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352</v>
      </c>
      <c r="D11" s="16"/>
      <c r="E11" s="17" t="s">
        <v>95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/>
      <c r="D12" s="16" t="s">
        <v>339</v>
      </c>
      <c r="E12" s="17" t="s">
        <v>90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/>
      <c r="D13" s="16" t="s">
        <v>340</v>
      </c>
      <c r="E13" s="17" t="s">
        <v>90</v>
      </c>
      <c r="F13" s="18"/>
      <c r="G13" s="19"/>
      <c r="H13" s="54"/>
    </row>
  </sheetData>
  <autoFilter ref="A5:H13"/>
  <conditionalFormatting sqref="F5 F8:F1048576">
    <cfRule type="cellIs" dxfId="167" priority="5" operator="equal">
      <formula>"Fail"</formula>
    </cfRule>
    <cfRule type="cellIs" dxfId="166" priority="6" operator="equal">
      <formula>"Pass"</formula>
    </cfRule>
  </conditionalFormatting>
  <conditionalFormatting sqref="F6:F7">
    <cfRule type="cellIs" dxfId="165" priority="3" operator="equal">
      <formula>"Fail"</formula>
    </cfRule>
    <cfRule type="cellIs" dxfId="164" priority="4" operator="equal">
      <formula>"Pass"</formula>
    </cfRule>
  </conditionalFormatting>
  <conditionalFormatting sqref="E1:E3">
    <cfRule type="cellIs" dxfId="163" priority="1" operator="equal">
      <formula>"Fail"</formula>
    </cfRule>
    <cfRule type="cellIs" dxfId="162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3">
      <formula1>Result</formula1>
    </dataValidation>
    <dataValidation type="list" allowBlank="1" showInputMessage="1" showErrorMessage="1" sqref="E6:E13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96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599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600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91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91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356</v>
      </c>
      <c r="C6" s="16" t="s">
        <v>15</v>
      </c>
      <c r="D6" s="16"/>
      <c r="E6" s="17" t="s">
        <v>158</v>
      </c>
      <c r="F6" s="18"/>
      <c r="G6" s="19"/>
      <c r="H6" s="54"/>
    </row>
    <row r="7" spans="1:8" ht="18.75" x14ac:dyDescent="0.25">
      <c r="A7" s="14">
        <f t="shared" ref="A7:A70" si="0">+A6+1</f>
        <v>2</v>
      </c>
      <c r="B7" s="16"/>
      <c r="C7" s="16" t="s">
        <v>23</v>
      </c>
      <c r="D7" s="16"/>
      <c r="E7" s="17" t="s">
        <v>158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27</v>
      </c>
      <c r="D8" s="16"/>
      <c r="E8" s="17" t="s">
        <v>158</v>
      </c>
      <c r="F8" s="18"/>
      <c r="G8" s="19"/>
      <c r="H8" s="54"/>
    </row>
    <row r="9" spans="1:8" ht="37.5" x14ac:dyDescent="0.25">
      <c r="A9" s="14">
        <f t="shared" si="0"/>
        <v>4</v>
      </c>
      <c r="B9" s="16" t="s">
        <v>357</v>
      </c>
      <c r="C9" s="16" t="s">
        <v>434</v>
      </c>
      <c r="D9" s="16"/>
      <c r="E9" s="17" t="s">
        <v>94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358</v>
      </c>
      <c r="D10" s="16"/>
      <c r="E10" s="17" t="s">
        <v>91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269</v>
      </c>
      <c r="D11" s="16"/>
      <c r="E11" s="17" t="s">
        <v>101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38</v>
      </c>
      <c r="D12" s="16"/>
      <c r="E12" s="17" t="s">
        <v>95</v>
      </c>
      <c r="F12" s="18"/>
      <c r="G12" s="19"/>
      <c r="H12" s="54"/>
    </row>
    <row r="13" spans="1:8" ht="37.5" x14ac:dyDescent="0.25">
      <c r="A13" s="14">
        <f t="shared" si="0"/>
        <v>8</v>
      </c>
      <c r="B13" s="16" t="s">
        <v>359</v>
      </c>
      <c r="C13" s="16" t="s">
        <v>14</v>
      </c>
      <c r="D13" s="16"/>
      <c r="E13" s="17" t="s">
        <v>158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9</v>
      </c>
      <c r="D14" s="16"/>
      <c r="E14" s="17" t="s">
        <v>158</v>
      </c>
      <c r="F14" s="18"/>
      <c r="G14" s="19"/>
      <c r="H14" s="54"/>
    </row>
    <row r="15" spans="1:8" ht="56.25" x14ac:dyDescent="0.25">
      <c r="A15" s="14">
        <f t="shared" si="0"/>
        <v>10</v>
      </c>
      <c r="B15" s="16" t="s">
        <v>361</v>
      </c>
      <c r="C15" s="16" t="s">
        <v>15</v>
      </c>
      <c r="D15" s="16"/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20</v>
      </c>
      <c r="D16" s="16"/>
      <c r="E16" s="17" t="s">
        <v>90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106</v>
      </c>
      <c r="D17" s="16"/>
      <c r="E17" s="17" t="s">
        <v>89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107</v>
      </c>
      <c r="D18" s="16"/>
      <c r="E18" s="17" t="s">
        <v>89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109</v>
      </c>
      <c r="D19" s="16"/>
      <c r="E19" s="17" t="s">
        <v>89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7</v>
      </c>
      <c r="D20" s="16"/>
      <c r="E20" s="17" t="s">
        <v>91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112</v>
      </c>
      <c r="D21" s="16"/>
      <c r="E21" s="17" t="s">
        <v>89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113</v>
      </c>
      <c r="D22" s="16"/>
      <c r="E22" s="17" t="s">
        <v>117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 t="s">
        <v>130</v>
      </c>
      <c r="D23" s="16"/>
      <c r="E23" s="17" t="s">
        <v>101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/>
      <c r="D24" s="16" t="s">
        <v>131</v>
      </c>
      <c r="E24" s="17" t="s">
        <v>90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16"/>
      <c r="D25" s="16" t="s">
        <v>132</v>
      </c>
      <c r="E25" s="17" t="s">
        <v>90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/>
      <c r="D26" s="16" t="s">
        <v>133</v>
      </c>
      <c r="E26" s="17" t="s">
        <v>90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/>
      <c r="D27" s="16" t="s">
        <v>134</v>
      </c>
      <c r="E27" s="17" t="s">
        <v>120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136</v>
      </c>
      <c r="D28" s="16"/>
      <c r="E28" s="17" t="s">
        <v>101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/>
      <c r="D29" s="16" t="s">
        <v>131</v>
      </c>
      <c r="E29" s="17" t="s">
        <v>90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/>
      <c r="D30" s="16" t="s">
        <v>135</v>
      </c>
      <c r="E30" s="17" t="s">
        <v>90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137</v>
      </c>
      <c r="D31" s="16"/>
      <c r="E31" s="17" t="s">
        <v>101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/>
      <c r="D32" s="16" t="s">
        <v>138</v>
      </c>
      <c r="E32" s="17" t="s">
        <v>90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/>
      <c r="D33" s="16" t="s">
        <v>132</v>
      </c>
      <c r="E33" s="17" t="s">
        <v>90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/>
      <c r="D34" s="16" t="s">
        <v>139</v>
      </c>
      <c r="E34" s="17" t="s">
        <v>90</v>
      </c>
      <c r="F34" s="18"/>
      <c r="G34" s="19"/>
      <c r="H34" s="54"/>
    </row>
    <row r="35" spans="1:8" ht="18.75" x14ac:dyDescent="0.25">
      <c r="A35" s="14">
        <f t="shared" si="0"/>
        <v>30</v>
      </c>
      <c r="B35" s="16"/>
      <c r="C35" s="16"/>
      <c r="D35" s="16" t="s">
        <v>140</v>
      </c>
      <c r="E35" s="17" t="s">
        <v>90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141</v>
      </c>
      <c r="E36" s="17" t="s">
        <v>90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142</v>
      </c>
      <c r="E37" s="17" t="s">
        <v>120</v>
      </c>
      <c r="F37" s="18"/>
      <c r="G37" s="19"/>
      <c r="H37" s="54"/>
    </row>
    <row r="38" spans="1:8" ht="56.25" x14ac:dyDescent="0.25">
      <c r="A38" s="14">
        <f t="shared" si="0"/>
        <v>33</v>
      </c>
      <c r="B38" s="16" t="s">
        <v>360</v>
      </c>
      <c r="C38" s="16" t="s">
        <v>390</v>
      </c>
      <c r="D38" s="16"/>
      <c r="E38" s="17"/>
      <c r="F38" s="18"/>
      <c r="G38" s="19"/>
      <c r="H38" s="54"/>
    </row>
    <row r="39" spans="1:8" ht="56.25" x14ac:dyDescent="0.25">
      <c r="A39" s="14">
        <f t="shared" si="0"/>
        <v>34</v>
      </c>
      <c r="B39" s="16" t="s">
        <v>362</v>
      </c>
      <c r="C39" s="16" t="s">
        <v>391</v>
      </c>
      <c r="D39" s="16"/>
      <c r="E39" s="17"/>
      <c r="F39" s="18"/>
      <c r="G39" s="19"/>
      <c r="H39" s="54"/>
    </row>
    <row r="40" spans="1:8" ht="37.5" x14ac:dyDescent="0.25">
      <c r="A40" s="14">
        <f t="shared" si="0"/>
        <v>35</v>
      </c>
      <c r="B40" s="16" t="s">
        <v>363</v>
      </c>
      <c r="C40" s="16" t="s">
        <v>364</v>
      </c>
      <c r="D40" s="16"/>
      <c r="E40" s="17" t="s">
        <v>93</v>
      </c>
      <c r="F40" s="18"/>
      <c r="G40" s="19"/>
      <c r="H40" s="54"/>
    </row>
    <row r="41" spans="1:8" ht="18.75" x14ac:dyDescent="0.25">
      <c r="A41" s="14">
        <f t="shared" si="0"/>
        <v>36</v>
      </c>
      <c r="B41" s="16"/>
      <c r="C41" s="16" t="s">
        <v>365</v>
      </c>
      <c r="D41" s="16"/>
      <c r="E41" s="17" t="s">
        <v>93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335</v>
      </c>
      <c r="D42" s="16"/>
      <c r="E42" s="17" t="s">
        <v>89</v>
      </c>
      <c r="F42" s="18"/>
      <c r="G42" s="19"/>
      <c r="H42" s="54"/>
    </row>
    <row r="43" spans="1:8" ht="18.75" x14ac:dyDescent="0.25">
      <c r="A43" s="14">
        <f t="shared" si="0"/>
        <v>38</v>
      </c>
      <c r="B43" s="16"/>
      <c r="C43" s="16" t="s">
        <v>366</v>
      </c>
      <c r="D43" s="16"/>
      <c r="E43" s="17" t="s">
        <v>95</v>
      </c>
      <c r="F43" s="18"/>
      <c r="G43" s="19"/>
      <c r="H43" s="54"/>
    </row>
    <row r="44" spans="1:8" ht="18.75" x14ac:dyDescent="0.25">
      <c r="A44" s="14">
        <f t="shared" si="0"/>
        <v>39</v>
      </c>
      <c r="B44" s="16"/>
      <c r="C44" s="16" t="s">
        <v>367</v>
      </c>
      <c r="D44" s="16"/>
      <c r="E44" s="17" t="s">
        <v>95</v>
      </c>
      <c r="F44" s="18"/>
      <c r="G44" s="19"/>
      <c r="H44" s="54"/>
    </row>
    <row r="45" spans="1:8" ht="37.5" x14ac:dyDescent="0.25">
      <c r="A45" s="14">
        <f t="shared" si="0"/>
        <v>40</v>
      </c>
      <c r="B45" s="16" t="s">
        <v>369</v>
      </c>
      <c r="C45" s="16" t="s">
        <v>434</v>
      </c>
      <c r="D45" s="16"/>
      <c r="E45" s="17" t="s">
        <v>94</v>
      </c>
      <c r="F45" s="18"/>
      <c r="G45" s="19"/>
      <c r="H45" s="54"/>
    </row>
    <row r="46" spans="1:8" ht="18.75" x14ac:dyDescent="0.25">
      <c r="A46" s="14">
        <f t="shared" si="0"/>
        <v>41</v>
      </c>
      <c r="B46" s="16"/>
      <c r="C46" s="16" t="s">
        <v>358</v>
      </c>
      <c r="D46" s="16"/>
      <c r="E46" s="17" t="s">
        <v>91</v>
      </c>
      <c r="F46" s="18"/>
      <c r="G46" s="19"/>
      <c r="H46" s="54"/>
    </row>
    <row r="47" spans="1:8" ht="56.25" x14ac:dyDescent="0.25">
      <c r="A47" s="14">
        <f t="shared" si="0"/>
        <v>42</v>
      </c>
      <c r="B47" s="16"/>
      <c r="C47" s="16"/>
      <c r="D47" s="16" t="s">
        <v>392</v>
      </c>
      <c r="E47" s="17"/>
      <c r="F47" s="18"/>
      <c r="G47" s="19"/>
      <c r="H47" s="54"/>
    </row>
    <row r="48" spans="1:8" ht="18.75" x14ac:dyDescent="0.25">
      <c r="A48" s="14">
        <f t="shared" si="0"/>
        <v>43</v>
      </c>
      <c r="B48" s="16"/>
      <c r="C48" s="16" t="s">
        <v>269</v>
      </c>
      <c r="D48" s="16"/>
      <c r="E48" s="17" t="s">
        <v>101</v>
      </c>
      <c r="F48" s="18"/>
      <c r="G48" s="19"/>
      <c r="H48" s="54"/>
    </row>
    <row r="49" spans="1:8" ht="18.75" x14ac:dyDescent="0.25">
      <c r="A49" s="14">
        <f t="shared" si="0"/>
        <v>44</v>
      </c>
      <c r="B49" s="16"/>
      <c r="C49" s="16" t="s">
        <v>245</v>
      </c>
      <c r="D49" s="16"/>
      <c r="E49" s="17" t="s">
        <v>95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/>
      <c r="D50" s="16" t="s">
        <v>339</v>
      </c>
      <c r="E50" s="17" t="s">
        <v>90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/>
      <c r="D51" s="16" t="s">
        <v>340</v>
      </c>
      <c r="E51" s="17" t="s">
        <v>90</v>
      </c>
      <c r="F51" s="18"/>
      <c r="G51" s="19"/>
      <c r="H51" s="54"/>
    </row>
    <row r="52" spans="1:8" ht="37.5" x14ac:dyDescent="0.25">
      <c r="A52" s="14">
        <f t="shared" si="0"/>
        <v>47</v>
      </c>
      <c r="B52" s="16" t="s">
        <v>370</v>
      </c>
      <c r="C52" s="16" t="s">
        <v>434</v>
      </c>
      <c r="D52" s="16"/>
      <c r="E52" s="17" t="s">
        <v>94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 t="s">
        <v>358</v>
      </c>
      <c r="D53" s="16"/>
      <c r="E53" s="17" t="s">
        <v>91</v>
      </c>
      <c r="F53" s="18"/>
      <c r="G53" s="19"/>
      <c r="H53" s="54"/>
    </row>
    <row r="54" spans="1:8" ht="56.25" x14ac:dyDescent="0.25">
      <c r="A54" s="14">
        <f t="shared" si="0"/>
        <v>49</v>
      </c>
      <c r="B54" s="16"/>
      <c r="C54" s="16"/>
      <c r="D54" s="16" t="s">
        <v>392</v>
      </c>
      <c r="E54" s="17"/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 t="s">
        <v>269</v>
      </c>
      <c r="D55" s="16"/>
      <c r="E55" s="17" t="s">
        <v>101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 t="s">
        <v>371</v>
      </c>
      <c r="D56" s="16"/>
      <c r="E56" s="17" t="s">
        <v>90</v>
      </c>
      <c r="F56" s="18"/>
      <c r="G56" s="19"/>
      <c r="H56" s="54"/>
    </row>
    <row r="57" spans="1:8" ht="56.25" x14ac:dyDescent="0.25">
      <c r="A57" s="14">
        <f t="shared" si="0"/>
        <v>52</v>
      </c>
      <c r="B57" s="16"/>
      <c r="C57" s="16"/>
      <c r="D57" s="16" t="s">
        <v>392</v>
      </c>
      <c r="E57" s="17"/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 t="s">
        <v>245</v>
      </c>
      <c r="D58" s="16"/>
      <c r="E58" s="17" t="s">
        <v>95</v>
      </c>
      <c r="F58" s="18"/>
      <c r="G58" s="19"/>
      <c r="H58" s="54"/>
    </row>
    <row r="59" spans="1:8" ht="18.75" x14ac:dyDescent="0.25">
      <c r="A59" s="14">
        <f t="shared" si="0"/>
        <v>54</v>
      </c>
      <c r="B59" s="16"/>
      <c r="C59" s="16"/>
      <c r="D59" s="16" t="s">
        <v>339</v>
      </c>
      <c r="E59" s="17" t="s">
        <v>90</v>
      </c>
      <c r="F59" s="18"/>
      <c r="G59" s="19"/>
      <c r="H59" s="54"/>
    </row>
    <row r="60" spans="1:8" ht="18.75" x14ac:dyDescent="0.25">
      <c r="A60" s="14">
        <f t="shared" si="0"/>
        <v>55</v>
      </c>
      <c r="B60" s="16"/>
      <c r="C60" s="16"/>
      <c r="D60" s="16" t="s">
        <v>340</v>
      </c>
      <c r="E60" s="17" t="s">
        <v>90</v>
      </c>
      <c r="F60" s="18"/>
      <c r="G60" s="19"/>
      <c r="H60" s="54"/>
    </row>
    <row r="61" spans="1:8" ht="37.5" x14ac:dyDescent="0.25">
      <c r="A61" s="14">
        <f t="shared" si="0"/>
        <v>56</v>
      </c>
      <c r="B61" s="16" t="s">
        <v>372</v>
      </c>
      <c r="C61" s="16" t="s">
        <v>373</v>
      </c>
      <c r="D61" s="16"/>
      <c r="E61" s="17" t="s">
        <v>90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/>
      <c r="D62" s="16" t="s">
        <v>374</v>
      </c>
      <c r="E62" s="17" t="s">
        <v>89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148</v>
      </c>
      <c r="E63" s="17" t="s">
        <v>89</v>
      </c>
      <c r="F63" s="18"/>
      <c r="G63" s="19"/>
      <c r="H63" s="54"/>
    </row>
    <row r="64" spans="1:8" ht="18.75" x14ac:dyDescent="0.25">
      <c r="A64" s="14">
        <f t="shared" si="0"/>
        <v>59</v>
      </c>
      <c r="B64" s="16"/>
      <c r="C64" s="16"/>
      <c r="D64" s="16" t="s">
        <v>156</v>
      </c>
      <c r="E64" s="17" t="s">
        <v>95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155</v>
      </c>
      <c r="E65" s="17" t="s">
        <v>95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 t="s">
        <v>376</v>
      </c>
      <c r="D66" s="16"/>
      <c r="E66" s="17" t="s">
        <v>94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 t="s">
        <v>377</v>
      </c>
      <c r="D67" s="16"/>
      <c r="E67" s="17" t="s">
        <v>91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/>
      <c r="D68" s="16" t="s">
        <v>381</v>
      </c>
      <c r="E68" s="17" t="s">
        <v>90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/>
      <c r="D69" s="16" t="s">
        <v>382</v>
      </c>
      <c r="E69" s="17" t="s">
        <v>95</v>
      </c>
      <c r="F69" s="18"/>
      <c r="G69" s="19"/>
      <c r="H69" s="54"/>
    </row>
    <row r="70" spans="1:8" ht="18.75" x14ac:dyDescent="0.25">
      <c r="A70" s="14">
        <f t="shared" si="0"/>
        <v>65</v>
      </c>
      <c r="B70" s="16"/>
      <c r="C70" s="16" t="s">
        <v>378</v>
      </c>
      <c r="D70" s="16"/>
      <c r="E70" s="17" t="s">
        <v>101</v>
      </c>
      <c r="F70" s="18"/>
      <c r="G70" s="19"/>
      <c r="H70" s="54"/>
    </row>
    <row r="71" spans="1:8" ht="18.75" x14ac:dyDescent="0.25">
      <c r="A71" s="14">
        <f t="shared" ref="A71:A96" si="1">+A70+1</f>
        <v>66</v>
      </c>
      <c r="B71" s="16"/>
      <c r="C71" s="16" t="s">
        <v>379</v>
      </c>
      <c r="D71" s="16"/>
      <c r="E71" s="17" t="s">
        <v>95</v>
      </c>
      <c r="F71" s="18"/>
      <c r="G71" s="19"/>
      <c r="H71" s="54"/>
    </row>
    <row r="72" spans="1:8" ht="18.75" x14ac:dyDescent="0.25">
      <c r="A72" s="14">
        <f t="shared" si="1"/>
        <v>67</v>
      </c>
      <c r="B72" s="16"/>
      <c r="C72" s="16" t="s">
        <v>380</v>
      </c>
      <c r="D72" s="16"/>
      <c r="E72" s="17" t="s">
        <v>95</v>
      </c>
      <c r="F72" s="18"/>
      <c r="G72" s="19"/>
      <c r="H72" s="54"/>
    </row>
    <row r="73" spans="1:8" ht="18.75" x14ac:dyDescent="0.25">
      <c r="A73" s="14">
        <f t="shared" si="1"/>
        <v>68</v>
      </c>
      <c r="B73" s="16"/>
      <c r="C73" s="16"/>
      <c r="D73" s="16" t="s">
        <v>339</v>
      </c>
      <c r="E73" s="17" t="s">
        <v>90</v>
      </c>
      <c r="F73" s="18"/>
      <c r="G73" s="19"/>
      <c r="H73" s="54"/>
    </row>
    <row r="74" spans="1:8" ht="18.75" x14ac:dyDescent="0.25">
      <c r="A74" s="14">
        <f t="shared" si="1"/>
        <v>69</v>
      </c>
      <c r="B74" s="16"/>
      <c r="C74" s="16"/>
      <c r="D74" s="16" t="s">
        <v>340</v>
      </c>
      <c r="E74" s="17" t="s">
        <v>90</v>
      </c>
      <c r="F74" s="18"/>
      <c r="G74" s="19"/>
      <c r="H74" s="54"/>
    </row>
    <row r="75" spans="1:8" ht="18.75" x14ac:dyDescent="0.25">
      <c r="A75" s="14">
        <f t="shared" si="1"/>
        <v>70</v>
      </c>
      <c r="B75" s="16" t="s">
        <v>375</v>
      </c>
      <c r="C75" s="16" t="s">
        <v>151</v>
      </c>
      <c r="D75" s="16"/>
      <c r="E75" s="17" t="s">
        <v>90</v>
      </c>
      <c r="F75" s="18"/>
      <c r="G75" s="19"/>
      <c r="H75" s="54"/>
    </row>
    <row r="76" spans="1:8" ht="18.75" x14ac:dyDescent="0.25">
      <c r="A76" s="14">
        <f t="shared" si="1"/>
        <v>71</v>
      </c>
      <c r="B76" s="16"/>
      <c r="C76" s="16" t="s">
        <v>101</v>
      </c>
      <c r="D76" s="16"/>
      <c r="E76" s="17" t="s">
        <v>150</v>
      </c>
      <c r="F76" s="18"/>
      <c r="G76" s="19"/>
      <c r="H76" s="54"/>
    </row>
    <row r="77" spans="1:8" s="57" customFormat="1" ht="18.75" x14ac:dyDescent="0.25">
      <c r="A77" s="14">
        <f t="shared" si="1"/>
        <v>72</v>
      </c>
      <c r="B77" s="16"/>
      <c r="C77" s="16" t="s">
        <v>547</v>
      </c>
      <c r="D77" s="16"/>
      <c r="E77" s="17" t="s">
        <v>150</v>
      </c>
      <c r="F77" s="18"/>
      <c r="G77" s="19"/>
      <c r="H77" s="54"/>
    </row>
    <row r="78" spans="1:8" ht="18.75" x14ac:dyDescent="0.25">
      <c r="A78" s="14">
        <f t="shared" si="1"/>
        <v>73</v>
      </c>
      <c r="B78" s="16"/>
      <c r="C78" s="16" t="s">
        <v>53</v>
      </c>
      <c r="D78" s="16"/>
      <c r="E78" s="17" t="s">
        <v>150</v>
      </c>
      <c r="F78" s="18"/>
      <c r="G78" s="19"/>
      <c r="H78" s="54"/>
    </row>
    <row r="79" spans="1:8" ht="18.75" x14ac:dyDescent="0.25">
      <c r="A79" s="14">
        <f t="shared" si="1"/>
        <v>74</v>
      </c>
      <c r="B79" s="16"/>
      <c r="C79" s="16" t="s">
        <v>129</v>
      </c>
      <c r="D79" s="16"/>
      <c r="E79" s="17" t="s">
        <v>150</v>
      </c>
      <c r="F79" s="18"/>
      <c r="G79" s="19"/>
      <c r="H79" s="54"/>
    </row>
    <row r="80" spans="1:8" ht="18.75" x14ac:dyDescent="0.25">
      <c r="A80" s="14">
        <f t="shared" si="1"/>
        <v>75</v>
      </c>
      <c r="B80" s="16"/>
      <c r="C80" s="16" t="s">
        <v>143</v>
      </c>
      <c r="D80" s="16"/>
      <c r="E80" s="17" t="s">
        <v>150</v>
      </c>
      <c r="F80" s="18"/>
      <c r="G80" s="19"/>
      <c r="H80" s="54"/>
    </row>
    <row r="81" spans="1:8" ht="18.75" x14ac:dyDescent="0.25">
      <c r="A81" s="14">
        <f t="shared" si="1"/>
        <v>76</v>
      </c>
      <c r="B81" s="16"/>
      <c r="C81" s="16" t="s">
        <v>144</v>
      </c>
      <c r="D81" s="16"/>
      <c r="E81" s="17" t="s">
        <v>150</v>
      </c>
      <c r="F81" s="18"/>
      <c r="G81" s="19"/>
      <c r="H81" s="54"/>
    </row>
    <row r="82" spans="1:8" ht="18.75" x14ac:dyDescent="0.25">
      <c r="A82" s="14">
        <f t="shared" si="1"/>
        <v>77</v>
      </c>
      <c r="B82" s="16"/>
      <c r="C82" s="16" t="s">
        <v>145</v>
      </c>
      <c r="D82" s="16"/>
      <c r="E82" s="17" t="s">
        <v>150</v>
      </c>
      <c r="F82" s="18"/>
      <c r="G82" s="19"/>
      <c r="H82" s="54"/>
    </row>
    <row r="83" spans="1:8" ht="18.75" x14ac:dyDescent="0.25">
      <c r="A83" s="14">
        <f t="shared" si="1"/>
        <v>78</v>
      </c>
      <c r="B83" s="16"/>
      <c r="C83" s="16" t="s">
        <v>120</v>
      </c>
      <c r="D83" s="16"/>
      <c r="E83" s="17" t="s">
        <v>150</v>
      </c>
      <c r="F83" s="18"/>
      <c r="G83" s="19"/>
      <c r="H83" s="54"/>
    </row>
    <row r="84" spans="1:8" ht="18.75" x14ac:dyDescent="0.25">
      <c r="A84" s="14">
        <f t="shared" si="1"/>
        <v>79</v>
      </c>
      <c r="B84" s="16"/>
      <c r="C84" s="16" t="s">
        <v>146</v>
      </c>
      <c r="D84" s="16"/>
      <c r="E84" s="17" t="s">
        <v>150</v>
      </c>
      <c r="F84" s="18"/>
      <c r="G84" s="19"/>
      <c r="H84" s="54"/>
    </row>
    <row r="85" spans="1:8" ht="18.75" x14ac:dyDescent="0.25">
      <c r="A85" s="14">
        <f t="shared" si="1"/>
        <v>80</v>
      </c>
      <c r="B85" s="16"/>
      <c r="C85" s="16" t="s">
        <v>147</v>
      </c>
      <c r="D85" s="16"/>
      <c r="E85" s="17" t="s">
        <v>150</v>
      </c>
      <c r="F85" s="18"/>
      <c r="G85" s="19"/>
      <c r="H85" s="54"/>
    </row>
    <row r="86" spans="1:8" ht="18.75" x14ac:dyDescent="0.25">
      <c r="A86" s="14">
        <f t="shared" si="1"/>
        <v>81</v>
      </c>
      <c r="B86" s="16"/>
      <c r="C86" s="16" t="s">
        <v>148</v>
      </c>
      <c r="D86" s="16"/>
      <c r="E86" s="17" t="s">
        <v>150</v>
      </c>
      <c r="F86" s="18"/>
      <c r="G86" s="19"/>
      <c r="H86" s="54"/>
    </row>
    <row r="87" spans="1:8" ht="18.75" x14ac:dyDescent="0.25">
      <c r="A87" s="14">
        <f t="shared" si="1"/>
        <v>82</v>
      </c>
      <c r="B87" s="16"/>
      <c r="C87" s="16" t="s">
        <v>149</v>
      </c>
      <c r="D87" s="16"/>
      <c r="E87" s="17" t="s">
        <v>150</v>
      </c>
      <c r="F87" s="18"/>
      <c r="G87" s="19"/>
      <c r="H87" s="54"/>
    </row>
    <row r="88" spans="1:8" ht="18.75" x14ac:dyDescent="0.25">
      <c r="A88" s="14">
        <f t="shared" si="1"/>
        <v>83</v>
      </c>
      <c r="B88" s="16"/>
      <c r="C88" s="16" t="s">
        <v>116</v>
      </c>
      <c r="D88" s="16"/>
      <c r="E88" s="17" t="s">
        <v>150</v>
      </c>
      <c r="F88" s="18"/>
      <c r="G88" s="19"/>
      <c r="H88" s="54"/>
    </row>
    <row r="89" spans="1:8" ht="18.75" x14ac:dyDescent="0.25">
      <c r="A89" s="14">
        <f t="shared" si="1"/>
        <v>84</v>
      </c>
      <c r="B89" s="16"/>
      <c r="C89" s="16" t="s">
        <v>152</v>
      </c>
      <c r="D89" s="16"/>
      <c r="E89" s="17" t="s">
        <v>95</v>
      </c>
      <c r="F89" s="18"/>
      <c r="G89" s="19"/>
      <c r="H89" s="54"/>
    </row>
    <row r="90" spans="1:8" ht="18.75" x14ac:dyDescent="0.25">
      <c r="A90" s="14">
        <f t="shared" si="1"/>
        <v>85</v>
      </c>
      <c r="B90" s="16"/>
      <c r="C90" s="16" t="s">
        <v>153</v>
      </c>
      <c r="D90" s="16"/>
      <c r="E90" s="17" t="s">
        <v>95</v>
      </c>
      <c r="F90" s="18"/>
      <c r="G90" s="19"/>
      <c r="H90" s="54"/>
    </row>
    <row r="91" spans="1:8" ht="18.75" x14ac:dyDescent="0.25">
      <c r="A91" s="14">
        <f t="shared" si="1"/>
        <v>86</v>
      </c>
      <c r="B91" s="16"/>
      <c r="C91" s="16" t="s">
        <v>154</v>
      </c>
      <c r="D91" s="16"/>
      <c r="E91" s="17" t="s">
        <v>95</v>
      </c>
      <c r="F91" s="18"/>
      <c r="G91" s="19"/>
      <c r="H91" s="54"/>
    </row>
    <row r="92" spans="1:8" ht="18.75" x14ac:dyDescent="0.25">
      <c r="A92" s="14">
        <f t="shared" si="1"/>
        <v>87</v>
      </c>
      <c r="B92" s="16"/>
      <c r="C92" s="16"/>
      <c r="D92" s="16" t="s">
        <v>339</v>
      </c>
      <c r="E92" s="17" t="s">
        <v>90</v>
      </c>
      <c r="F92" s="18"/>
      <c r="G92" s="19"/>
      <c r="H92" s="54"/>
    </row>
    <row r="93" spans="1:8" ht="18.75" x14ac:dyDescent="0.25">
      <c r="A93" s="14">
        <f t="shared" si="1"/>
        <v>88</v>
      </c>
      <c r="B93" s="16"/>
      <c r="C93" s="16"/>
      <c r="D93" s="16" t="s">
        <v>340</v>
      </c>
      <c r="E93" s="17" t="s">
        <v>90</v>
      </c>
      <c r="F93" s="18"/>
      <c r="G93" s="19"/>
      <c r="H93" s="54"/>
    </row>
    <row r="94" spans="1:8" ht="18.75" x14ac:dyDescent="0.25">
      <c r="A94" s="14">
        <f t="shared" si="1"/>
        <v>89</v>
      </c>
      <c r="B94" s="16"/>
      <c r="C94" s="16" t="s">
        <v>155</v>
      </c>
      <c r="D94" s="16"/>
      <c r="E94" s="17" t="s">
        <v>95</v>
      </c>
      <c r="F94" s="18"/>
      <c r="G94" s="19"/>
      <c r="H94" s="54"/>
    </row>
    <row r="95" spans="1:8" ht="18.75" x14ac:dyDescent="0.25">
      <c r="A95" s="14">
        <f t="shared" si="1"/>
        <v>90</v>
      </c>
      <c r="B95" s="16"/>
      <c r="C95" s="16" t="s">
        <v>156</v>
      </c>
      <c r="D95" s="16"/>
      <c r="E95" s="17" t="s">
        <v>95</v>
      </c>
      <c r="F95" s="18"/>
      <c r="G95" s="19"/>
      <c r="H95" s="54"/>
    </row>
    <row r="96" spans="1:8" ht="37.5" x14ac:dyDescent="0.25">
      <c r="A96" s="14">
        <f t="shared" si="1"/>
        <v>91</v>
      </c>
      <c r="B96" s="16" t="s">
        <v>383</v>
      </c>
      <c r="C96" s="16" t="s">
        <v>384</v>
      </c>
      <c r="D96" s="16"/>
      <c r="E96" s="17"/>
      <c r="F96" s="18"/>
      <c r="G96" s="19"/>
      <c r="H96" s="54"/>
    </row>
  </sheetData>
  <autoFilter ref="A5:H96"/>
  <conditionalFormatting sqref="F5 F8:F1048576">
    <cfRule type="cellIs" dxfId="161" priority="5" operator="equal">
      <formula>"Fail"</formula>
    </cfRule>
    <cfRule type="cellIs" dxfId="160" priority="6" operator="equal">
      <formula>"Pass"</formula>
    </cfRule>
  </conditionalFormatting>
  <conditionalFormatting sqref="F6:F7">
    <cfRule type="cellIs" dxfId="159" priority="3" operator="equal">
      <formula>"Fail"</formula>
    </cfRule>
    <cfRule type="cellIs" dxfId="158" priority="4" operator="equal">
      <formula>"Pass"</formula>
    </cfRule>
  </conditionalFormatting>
  <conditionalFormatting sqref="E1:E3">
    <cfRule type="cellIs" dxfId="157" priority="1" operator="equal">
      <formula>"Fail"</formula>
    </cfRule>
    <cfRule type="cellIs" dxfId="156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96">
      <formula1>Result</formula1>
    </dataValidation>
    <dataValidation type="list" allowBlank="1" showInputMessage="1" showErrorMessage="1" sqref="E6:E96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47"/>
  <sheetViews>
    <sheetView showGridLines="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bestFit="1" customWidth="1"/>
    <col min="2" max="2" width="40.7109375" style="52" customWidth="1"/>
    <col min="3" max="4" width="30.7109375" customWidth="1"/>
    <col min="5" max="5" width="20.42578125" bestFit="1" customWidth="1"/>
    <col min="6" max="6" width="16.5703125" bestFit="1" customWidth="1"/>
    <col min="7" max="7" width="15.85546875" bestFit="1" customWidth="1"/>
    <col min="8" max="8" width="50.7109375" style="52" customWidth="1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599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600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142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142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37</v>
      </c>
      <c r="C6" s="16"/>
      <c r="D6" s="16"/>
      <c r="E6" s="17" t="s">
        <v>150</v>
      </c>
      <c r="F6" s="18"/>
      <c r="G6" s="19"/>
      <c r="H6" s="54"/>
    </row>
    <row r="7" spans="1:8" ht="18.75" x14ac:dyDescent="0.25">
      <c r="A7" s="14">
        <f t="shared" ref="A7:A70" si="0">+A6+1</f>
        <v>2</v>
      </c>
      <c r="B7" s="16"/>
      <c r="C7" s="16" t="s">
        <v>468</v>
      </c>
      <c r="D7" s="16"/>
      <c r="E7" s="17" t="s">
        <v>91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434</v>
      </c>
      <c r="D8" s="16"/>
      <c r="E8" s="17" t="s">
        <v>94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13</v>
      </c>
      <c r="D9" s="16"/>
      <c r="E9" s="17" t="s">
        <v>95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469</v>
      </c>
      <c r="D10" s="16"/>
      <c r="E10" s="17" t="s">
        <v>95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470</v>
      </c>
      <c r="D11" s="16"/>
      <c r="E11" s="17" t="s">
        <v>95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36</v>
      </c>
      <c r="D12" s="16"/>
      <c r="E12" s="17" t="s">
        <v>95</v>
      </c>
      <c r="F12" s="18"/>
      <c r="G12" s="19"/>
      <c r="H12" s="54"/>
    </row>
    <row r="13" spans="1:8" ht="18.75" x14ac:dyDescent="0.25">
      <c r="A13" s="14">
        <f t="shared" si="0"/>
        <v>8</v>
      </c>
      <c r="B13" s="16" t="s">
        <v>471</v>
      </c>
      <c r="C13" s="16"/>
      <c r="D13" s="16"/>
      <c r="E13" s="17" t="s">
        <v>95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5" t="s">
        <v>393</v>
      </c>
      <c r="D14" s="16"/>
      <c r="E14" s="17" t="s">
        <v>334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5"/>
      <c r="D15" s="16" t="s">
        <v>394</v>
      </c>
      <c r="E15" s="17" t="s">
        <v>90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/>
      <c r="D16" s="16" t="s">
        <v>395</v>
      </c>
      <c r="E16" s="17" t="s">
        <v>90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396</v>
      </c>
      <c r="D17" s="16"/>
      <c r="E17" s="17" t="s">
        <v>89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397</v>
      </c>
      <c r="D18" s="16"/>
      <c r="E18" s="17" t="s">
        <v>89</v>
      </c>
      <c r="F18" s="18"/>
      <c r="G18" s="19"/>
      <c r="H18" s="54"/>
    </row>
    <row r="19" spans="1:8" ht="18.75" x14ac:dyDescent="0.25">
      <c r="A19" s="14">
        <f t="shared" si="0"/>
        <v>14</v>
      </c>
      <c r="B19" s="16"/>
      <c r="C19" s="16" t="s">
        <v>398</v>
      </c>
      <c r="D19" s="16"/>
      <c r="E19" s="17" t="s">
        <v>89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399</v>
      </c>
      <c r="D20" s="16"/>
      <c r="E20" s="17" t="s">
        <v>89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400</v>
      </c>
      <c r="D21" s="16"/>
      <c r="E21" s="17" t="s">
        <v>89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401</v>
      </c>
      <c r="D22" s="16"/>
      <c r="E22" s="17" t="s">
        <v>89</v>
      </c>
      <c r="F22" s="18"/>
      <c r="G22" s="19"/>
      <c r="H22" s="54"/>
    </row>
    <row r="23" spans="1:8" ht="37.5" x14ac:dyDescent="0.25">
      <c r="A23" s="14">
        <f t="shared" si="0"/>
        <v>18</v>
      </c>
      <c r="B23" s="16"/>
      <c r="C23" s="16" t="s">
        <v>402</v>
      </c>
      <c r="D23" s="16"/>
      <c r="E23" s="17" t="s">
        <v>89</v>
      </c>
      <c r="F23" s="18"/>
      <c r="G23" s="19"/>
      <c r="H23" s="54"/>
    </row>
    <row r="24" spans="1:8" ht="18.75" x14ac:dyDescent="0.25">
      <c r="A24" s="14">
        <f t="shared" si="0"/>
        <v>19</v>
      </c>
      <c r="B24" s="16"/>
      <c r="C24" s="16" t="s">
        <v>403</v>
      </c>
      <c r="D24" s="16"/>
      <c r="E24" s="17" t="s">
        <v>89</v>
      </c>
      <c r="F24" s="18"/>
      <c r="G24" s="19"/>
      <c r="H24" s="54"/>
    </row>
    <row r="25" spans="1:8" ht="37.5" x14ac:dyDescent="0.25">
      <c r="A25" s="14">
        <f t="shared" si="0"/>
        <v>20</v>
      </c>
      <c r="B25" s="16"/>
      <c r="C25" s="16" t="s">
        <v>404</v>
      </c>
      <c r="D25" s="16"/>
      <c r="E25" s="17" t="s">
        <v>89</v>
      </c>
      <c r="F25" s="18"/>
      <c r="G25" s="19"/>
      <c r="H25" s="54"/>
    </row>
    <row r="26" spans="1:8" ht="18.75" x14ac:dyDescent="0.25">
      <c r="A26" s="14">
        <f t="shared" si="0"/>
        <v>21</v>
      </c>
      <c r="B26" s="16"/>
      <c r="C26" s="16" t="s">
        <v>405</v>
      </c>
      <c r="D26" s="16"/>
      <c r="E26" s="17" t="s">
        <v>89</v>
      </c>
      <c r="F26" s="18"/>
      <c r="G26" s="19"/>
      <c r="H26" s="54"/>
    </row>
    <row r="27" spans="1:8" ht="18.75" x14ac:dyDescent="0.25">
      <c r="A27" s="14">
        <f t="shared" si="0"/>
        <v>22</v>
      </c>
      <c r="B27" s="16"/>
      <c r="C27" s="16" t="s">
        <v>406</v>
      </c>
      <c r="D27" s="16"/>
      <c r="E27" s="17" t="s">
        <v>120</v>
      </c>
      <c r="F27" s="18"/>
      <c r="G27" s="19"/>
      <c r="H27" s="54"/>
    </row>
    <row r="28" spans="1:8" ht="18.75" x14ac:dyDescent="0.25">
      <c r="A28" s="14">
        <f t="shared" si="0"/>
        <v>23</v>
      </c>
      <c r="B28" s="16"/>
      <c r="C28" s="16" t="s">
        <v>407</v>
      </c>
      <c r="D28" s="16"/>
      <c r="E28" s="17" t="s">
        <v>89</v>
      </c>
      <c r="F28" s="18"/>
      <c r="G28" s="19"/>
      <c r="H28" s="54"/>
    </row>
    <row r="29" spans="1:8" ht="18.75" x14ac:dyDescent="0.25">
      <c r="A29" s="14">
        <f t="shared" si="0"/>
        <v>24</v>
      </c>
      <c r="B29" s="16"/>
      <c r="C29" s="16" t="s">
        <v>408</v>
      </c>
      <c r="D29" s="16"/>
      <c r="E29" s="17" t="s">
        <v>89</v>
      </c>
      <c r="F29" s="18"/>
      <c r="G29" s="19"/>
      <c r="H29" s="54"/>
    </row>
    <row r="30" spans="1:8" ht="18.75" x14ac:dyDescent="0.25">
      <c r="A30" s="14">
        <f t="shared" si="0"/>
        <v>25</v>
      </c>
      <c r="B30" s="16"/>
      <c r="C30" s="16" t="s">
        <v>409</v>
      </c>
      <c r="D30" s="16"/>
      <c r="E30" s="17" t="s">
        <v>89</v>
      </c>
      <c r="F30" s="18"/>
      <c r="G30" s="19"/>
      <c r="H30" s="54"/>
    </row>
    <row r="31" spans="1:8" ht="18.75" x14ac:dyDescent="0.25">
      <c r="A31" s="14">
        <f t="shared" si="0"/>
        <v>26</v>
      </c>
      <c r="B31" s="16"/>
      <c r="C31" s="16" t="s">
        <v>410</v>
      </c>
      <c r="D31" s="16"/>
      <c r="E31" s="17" t="s">
        <v>89</v>
      </c>
      <c r="F31" s="18"/>
      <c r="G31" s="19"/>
      <c r="H31" s="54"/>
    </row>
    <row r="32" spans="1:8" ht="18.75" x14ac:dyDescent="0.25">
      <c r="A32" s="14">
        <f t="shared" si="0"/>
        <v>27</v>
      </c>
      <c r="B32" s="16"/>
      <c r="C32" s="16" t="s">
        <v>411</v>
      </c>
      <c r="D32" s="16"/>
      <c r="E32" s="17" t="s">
        <v>89</v>
      </c>
      <c r="F32" s="18"/>
      <c r="G32" s="19"/>
      <c r="H32" s="54"/>
    </row>
    <row r="33" spans="1:8" ht="18.75" x14ac:dyDescent="0.25">
      <c r="A33" s="14">
        <f t="shared" si="0"/>
        <v>28</v>
      </c>
      <c r="B33" s="16"/>
      <c r="C33" s="16" t="s">
        <v>412</v>
      </c>
      <c r="D33" s="16"/>
      <c r="E33" s="17" t="s">
        <v>89</v>
      </c>
      <c r="F33" s="18"/>
      <c r="G33" s="19"/>
      <c r="H33" s="54"/>
    </row>
    <row r="34" spans="1:8" ht="18.75" x14ac:dyDescent="0.25">
      <c r="A34" s="14">
        <f t="shared" si="0"/>
        <v>29</v>
      </c>
      <c r="B34" s="16"/>
      <c r="C34" s="16" t="s">
        <v>413</v>
      </c>
      <c r="D34" s="16"/>
      <c r="E34" s="17" t="s">
        <v>120</v>
      </c>
      <c r="F34" s="18"/>
      <c r="G34" s="19"/>
      <c r="H34" s="54"/>
    </row>
    <row r="35" spans="1:8" ht="37.5" x14ac:dyDescent="0.25">
      <c r="A35" s="14">
        <f t="shared" si="0"/>
        <v>30</v>
      </c>
      <c r="B35" s="16"/>
      <c r="C35" s="16" t="s">
        <v>414</v>
      </c>
      <c r="D35" s="16"/>
      <c r="E35" s="17" t="s">
        <v>89</v>
      </c>
      <c r="F35" s="18"/>
      <c r="G35" s="19"/>
      <c r="H35" s="54"/>
    </row>
    <row r="36" spans="1:8" ht="18.75" x14ac:dyDescent="0.25">
      <c r="A36" s="14">
        <f t="shared" si="0"/>
        <v>31</v>
      </c>
      <c r="B36" s="16"/>
      <c r="C36" s="16"/>
      <c r="D36" s="16" t="s">
        <v>415</v>
      </c>
      <c r="E36" s="17" t="s">
        <v>120</v>
      </c>
      <c r="F36" s="18"/>
      <c r="G36" s="19"/>
      <c r="H36" s="54"/>
    </row>
    <row r="37" spans="1:8" ht="18.75" x14ac:dyDescent="0.25">
      <c r="A37" s="14">
        <f t="shared" si="0"/>
        <v>32</v>
      </c>
      <c r="B37" s="16"/>
      <c r="C37" s="16"/>
      <c r="D37" s="16" t="s">
        <v>416</v>
      </c>
      <c r="E37" s="17" t="s">
        <v>120</v>
      </c>
      <c r="F37" s="18"/>
      <c r="G37" s="19"/>
      <c r="H37" s="54"/>
    </row>
    <row r="38" spans="1:8" ht="18.75" x14ac:dyDescent="0.25">
      <c r="A38" s="14">
        <f t="shared" si="0"/>
        <v>33</v>
      </c>
      <c r="B38" s="16"/>
      <c r="C38" s="16" t="s">
        <v>417</v>
      </c>
      <c r="D38" s="16"/>
      <c r="E38" s="17" t="s">
        <v>101</v>
      </c>
      <c r="F38" s="18"/>
      <c r="G38" s="19"/>
      <c r="H38" s="54"/>
    </row>
    <row r="39" spans="1:8" ht="18.75" x14ac:dyDescent="0.25">
      <c r="A39" s="14">
        <f t="shared" si="0"/>
        <v>34</v>
      </c>
      <c r="B39" s="16"/>
      <c r="C39" s="16"/>
      <c r="D39" s="16" t="s">
        <v>418</v>
      </c>
      <c r="E39" s="17" t="s">
        <v>93</v>
      </c>
      <c r="F39" s="18"/>
      <c r="G39" s="19"/>
      <c r="H39" s="54"/>
    </row>
    <row r="40" spans="1:8" ht="18.75" x14ac:dyDescent="0.25">
      <c r="A40" s="14">
        <f t="shared" si="0"/>
        <v>35</v>
      </c>
      <c r="B40" s="16"/>
      <c r="C40" s="16"/>
      <c r="D40" s="16" t="s">
        <v>419</v>
      </c>
      <c r="E40" s="17" t="s">
        <v>93</v>
      </c>
      <c r="F40" s="18"/>
      <c r="G40" s="19"/>
      <c r="H40" s="54"/>
    </row>
    <row r="41" spans="1:8" ht="37.5" x14ac:dyDescent="0.25">
      <c r="A41" s="14">
        <f t="shared" si="0"/>
        <v>36</v>
      </c>
      <c r="B41" s="16"/>
      <c r="C41" s="16"/>
      <c r="D41" s="16" t="s">
        <v>420</v>
      </c>
      <c r="E41" s="17" t="s">
        <v>93</v>
      </c>
      <c r="F41" s="18"/>
      <c r="G41" s="19"/>
      <c r="H41" s="54"/>
    </row>
    <row r="42" spans="1:8" ht="18.75" x14ac:dyDescent="0.25">
      <c r="A42" s="14">
        <f t="shared" si="0"/>
        <v>37</v>
      </c>
      <c r="B42" s="16"/>
      <c r="C42" s="16" t="s">
        <v>421</v>
      </c>
      <c r="D42" s="16"/>
      <c r="E42" s="17" t="s">
        <v>90</v>
      </c>
      <c r="F42" s="18"/>
      <c r="G42" s="19"/>
      <c r="H42" s="54"/>
    </row>
    <row r="43" spans="1:8" ht="18.75" x14ac:dyDescent="0.25">
      <c r="A43" s="14">
        <f t="shared" si="0"/>
        <v>38</v>
      </c>
      <c r="B43" s="16" t="s">
        <v>472</v>
      </c>
      <c r="C43" s="16"/>
      <c r="D43" s="16"/>
      <c r="E43" s="17" t="s">
        <v>95</v>
      </c>
      <c r="F43" s="18"/>
      <c r="G43" s="19"/>
      <c r="H43" s="54"/>
    </row>
    <row r="44" spans="1:8" ht="18.75" x14ac:dyDescent="0.3">
      <c r="A44" s="14">
        <f t="shared" si="0"/>
        <v>39</v>
      </c>
      <c r="B44" s="16"/>
      <c r="C44" s="22" t="s">
        <v>30</v>
      </c>
      <c r="D44" s="16"/>
      <c r="E44" s="17" t="s">
        <v>158</v>
      </c>
      <c r="F44" s="18"/>
      <c r="G44" s="19"/>
      <c r="H44" s="54"/>
    </row>
    <row r="45" spans="1:8" ht="18.75" x14ac:dyDescent="0.3">
      <c r="A45" s="14">
        <f t="shared" si="0"/>
        <v>40</v>
      </c>
      <c r="B45" s="16"/>
      <c r="C45" s="22" t="s">
        <v>31</v>
      </c>
      <c r="D45" s="16"/>
      <c r="E45" s="17" t="s">
        <v>158</v>
      </c>
      <c r="F45" s="18"/>
      <c r="G45" s="19"/>
      <c r="H45" s="54"/>
    </row>
    <row r="46" spans="1:8" ht="18.75" x14ac:dyDescent="0.3">
      <c r="A46" s="14">
        <f t="shared" si="0"/>
        <v>41</v>
      </c>
      <c r="B46" s="16"/>
      <c r="C46" s="22" t="s">
        <v>32</v>
      </c>
      <c r="D46" s="16"/>
      <c r="E46" s="17" t="s">
        <v>158</v>
      </c>
      <c r="F46" s="18"/>
      <c r="G46" s="19"/>
      <c r="H46" s="54"/>
    </row>
    <row r="47" spans="1:8" ht="18.75" x14ac:dyDescent="0.3">
      <c r="A47" s="14">
        <f t="shared" si="0"/>
        <v>42</v>
      </c>
      <c r="B47" s="16"/>
      <c r="C47" s="22" t="s">
        <v>33</v>
      </c>
      <c r="D47" s="16"/>
      <c r="E47" s="17" t="s">
        <v>158</v>
      </c>
      <c r="F47" s="18"/>
      <c r="G47" s="19"/>
      <c r="H47" s="54"/>
    </row>
    <row r="48" spans="1:8" ht="18.75" x14ac:dyDescent="0.3">
      <c r="A48" s="14">
        <f t="shared" si="0"/>
        <v>43</v>
      </c>
      <c r="B48" s="16"/>
      <c r="C48" s="22" t="s">
        <v>34</v>
      </c>
      <c r="D48" s="16"/>
      <c r="E48" s="17" t="s">
        <v>158</v>
      </c>
      <c r="F48" s="18"/>
      <c r="G48" s="19"/>
      <c r="H48" s="54"/>
    </row>
    <row r="49" spans="1:8" ht="18.75" x14ac:dyDescent="0.25">
      <c r="A49" s="14">
        <f t="shared" si="0"/>
        <v>44</v>
      </c>
      <c r="B49" s="16" t="s">
        <v>473</v>
      </c>
      <c r="C49" s="16" t="s">
        <v>422</v>
      </c>
      <c r="D49" s="16"/>
      <c r="E49" s="17" t="s">
        <v>117</v>
      </c>
      <c r="F49" s="18"/>
      <c r="G49" s="19"/>
      <c r="H49" s="54"/>
    </row>
    <row r="50" spans="1:8" ht="18.75" x14ac:dyDescent="0.25">
      <c r="A50" s="14">
        <f t="shared" si="0"/>
        <v>45</v>
      </c>
      <c r="B50" s="16"/>
      <c r="C50" s="16"/>
      <c r="D50" s="16" t="s">
        <v>423</v>
      </c>
      <c r="E50" s="17" t="s">
        <v>89</v>
      </c>
      <c r="F50" s="18"/>
      <c r="G50" s="19"/>
      <c r="H50" s="54"/>
    </row>
    <row r="51" spans="1:8" ht="18.75" x14ac:dyDescent="0.25">
      <c r="A51" s="14">
        <f t="shared" si="0"/>
        <v>46</v>
      </c>
      <c r="B51" s="16"/>
      <c r="C51" s="16"/>
      <c r="D51" s="16" t="s">
        <v>424</v>
      </c>
      <c r="E51" s="17" t="s">
        <v>89</v>
      </c>
      <c r="F51" s="18"/>
      <c r="G51" s="19"/>
      <c r="H51" s="54"/>
    </row>
    <row r="52" spans="1:8" ht="18.75" x14ac:dyDescent="0.25">
      <c r="A52" s="14">
        <f t="shared" si="0"/>
        <v>47</v>
      </c>
      <c r="B52" s="16"/>
      <c r="C52" s="16"/>
      <c r="D52" s="16" t="s">
        <v>80</v>
      </c>
      <c r="E52" s="17" t="s">
        <v>89</v>
      </c>
      <c r="F52" s="18"/>
      <c r="G52" s="19"/>
      <c r="H52" s="54"/>
    </row>
    <row r="53" spans="1:8" ht="18.75" x14ac:dyDescent="0.25">
      <c r="A53" s="14">
        <f t="shared" si="0"/>
        <v>48</v>
      </c>
      <c r="B53" s="16"/>
      <c r="C53" s="16"/>
      <c r="D53" s="16" t="s">
        <v>422</v>
      </c>
      <c r="E53" s="17" t="s">
        <v>90</v>
      </c>
      <c r="F53" s="18"/>
      <c r="G53" s="19"/>
      <c r="H53" s="54"/>
    </row>
    <row r="54" spans="1:8" ht="18.75" x14ac:dyDescent="0.25">
      <c r="A54" s="14">
        <f t="shared" si="0"/>
        <v>49</v>
      </c>
      <c r="B54" s="16"/>
      <c r="C54" s="16" t="s">
        <v>425</v>
      </c>
      <c r="D54" s="16"/>
      <c r="E54" s="17" t="s">
        <v>117</v>
      </c>
      <c r="F54" s="18"/>
      <c r="G54" s="19"/>
      <c r="H54" s="54"/>
    </row>
    <row r="55" spans="1:8" ht="18.75" x14ac:dyDescent="0.25">
      <c r="A55" s="14">
        <f t="shared" si="0"/>
        <v>50</v>
      </c>
      <c r="B55" s="16"/>
      <c r="C55" s="16"/>
      <c r="D55" s="16" t="s">
        <v>426</v>
      </c>
      <c r="E55" s="17" t="s">
        <v>92</v>
      </c>
      <c r="F55" s="18"/>
      <c r="G55" s="19"/>
      <c r="H55" s="54"/>
    </row>
    <row r="56" spans="1:8" ht="18.75" x14ac:dyDescent="0.25">
      <c r="A56" s="14">
        <f t="shared" si="0"/>
        <v>51</v>
      </c>
      <c r="B56" s="16"/>
      <c r="C56" s="16"/>
      <c r="D56" s="16" t="s">
        <v>427</v>
      </c>
      <c r="E56" s="17" t="s">
        <v>92</v>
      </c>
      <c r="F56" s="18"/>
      <c r="G56" s="19"/>
      <c r="H56" s="54"/>
    </row>
    <row r="57" spans="1:8" ht="37.5" x14ac:dyDescent="0.25">
      <c r="A57" s="14">
        <f t="shared" si="0"/>
        <v>52</v>
      </c>
      <c r="B57" s="16"/>
      <c r="C57" s="16"/>
      <c r="D57" s="16" t="s">
        <v>428</v>
      </c>
      <c r="E57" s="17" t="s">
        <v>92</v>
      </c>
      <c r="F57" s="18"/>
      <c r="G57" s="19"/>
      <c r="H57" s="54"/>
    </row>
    <row r="58" spans="1:8" ht="18.75" x14ac:dyDescent="0.25">
      <c r="A58" s="14">
        <f t="shared" si="0"/>
        <v>53</v>
      </c>
      <c r="B58" s="16"/>
      <c r="C58" s="16"/>
      <c r="D58" s="16" t="s">
        <v>429</v>
      </c>
      <c r="E58" s="17" t="s">
        <v>92</v>
      </c>
      <c r="F58" s="18"/>
      <c r="G58" s="19"/>
      <c r="H58" s="54"/>
    </row>
    <row r="59" spans="1:8" ht="18.75" x14ac:dyDescent="0.25">
      <c r="A59" s="14">
        <f t="shared" si="0"/>
        <v>54</v>
      </c>
      <c r="B59" s="16"/>
      <c r="C59" s="16"/>
      <c r="D59" s="16" t="s">
        <v>430</v>
      </c>
      <c r="E59" s="17" t="s">
        <v>92</v>
      </c>
      <c r="F59" s="18"/>
      <c r="G59" s="19"/>
      <c r="H59" s="54"/>
    </row>
    <row r="60" spans="1:8" ht="37.5" x14ac:dyDescent="0.25">
      <c r="A60" s="14">
        <f t="shared" si="0"/>
        <v>55</v>
      </c>
      <c r="B60" s="16"/>
      <c r="C60" s="16"/>
      <c r="D60" s="16" t="s">
        <v>431</v>
      </c>
      <c r="E60" s="17" t="s">
        <v>92</v>
      </c>
      <c r="F60" s="18"/>
      <c r="G60" s="19"/>
      <c r="H60" s="54"/>
    </row>
    <row r="61" spans="1:8" ht="18.75" x14ac:dyDescent="0.25">
      <c r="A61" s="14">
        <f t="shared" si="0"/>
        <v>56</v>
      </c>
      <c r="B61" s="16"/>
      <c r="C61" s="16"/>
      <c r="D61" s="16" t="s">
        <v>421</v>
      </c>
      <c r="E61" s="17" t="s">
        <v>90</v>
      </c>
      <c r="F61" s="18"/>
      <c r="G61" s="19"/>
      <c r="H61" s="54"/>
    </row>
    <row r="62" spans="1:8" ht="18.75" x14ac:dyDescent="0.25">
      <c r="A62" s="14">
        <f t="shared" si="0"/>
        <v>57</v>
      </c>
      <c r="B62" s="16"/>
      <c r="C62" s="16" t="s">
        <v>432</v>
      </c>
      <c r="D62" s="16"/>
      <c r="E62" s="17" t="s">
        <v>117</v>
      </c>
      <c r="F62" s="18"/>
      <c r="G62" s="19"/>
      <c r="H62" s="54"/>
    </row>
    <row r="63" spans="1:8" ht="18.75" x14ac:dyDescent="0.25">
      <c r="A63" s="14">
        <f t="shared" si="0"/>
        <v>58</v>
      </c>
      <c r="B63" s="16"/>
      <c r="C63" s="16"/>
      <c r="D63" s="16" t="s">
        <v>432</v>
      </c>
      <c r="E63" s="17" t="s">
        <v>101</v>
      </c>
      <c r="F63" s="18"/>
      <c r="G63" s="19"/>
      <c r="H63" s="54"/>
    </row>
    <row r="64" spans="1:8" ht="18.75" x14ac:dyDescent="0.25">
      <c r="A64" s="14">
        <f t="shared" si="0"/>
        <v>59</v>
      </c>
      <c r="B64" s="16" t="s">
        <v>474</v>
      </c>
      <c r="C64" s="16" t="s">
        <v>437</v>
      </c>
      <c r="D64" s="16"/>
      <c r="E64" s="17" t="s">
        <v>90</v>
      </c>
      <c r="F64" s="18"/>
      <c r="G64" s="19"/>
      <c r="H64" s="54"/>
    </row>
    <row r="65" spans="1:8" ht="18.75" x14ac:dyDescent="0.25">
      <c r="A65" s="14">
        <f t="shared" si="0"/>
        <v>60</v>
      </c>
      <c r="B65" s="16"/>
      <c r="C65" s="16"/>
      <c r="D65" s="16" t="s">
        <v>435</v>
      </c>
      <c r="E65" s="17" t="s">
        <v>89</v>
      </c>
      <c r="F65" s="18"/>
      <c r="G65" s="19"/>
      <c r="H65" s="54"/>
    </row>
    <row r="66" spans="1:8" ht="18.75" x14ac:dyDescent="0.25">
      <c r="A66" s="14">
        <f t="shared" si="0"/>
        <v>61</v>
      </c>
      <c r="B66" s="16"/>
      <c r="C66" s="16"/>
      <c r="D66" s="16" t="s">
        <v>438</v>
      </c>
      <c r="E66" s="17" t="s">
        <v>95</v>
      </c>
      <c r="F66" s="18"/>
      <c r="G66" s="19"/>
      <c r="H66" s="54"/>
    </row>
    <row r="67" spans="1:8" ht="18.75" x14ac:dyDescent="0.25">
      <c r="A67" s="14">
        <f t="shared" si="0"/>
        <v>62</v>
      </c>
      <c r="B67" s="16"/>
      <c r="C67" s="16"/>
      <c r="D67" s="16" t="s">
        <v>439</v>
      </c>
      <c r="E67" s="17" t="s">
        <v>95</v>
      </c>
      <c r="F67" s="18"/>
      <c r="G67" s="19"/>
      <c r="H67" s="54"/>
    </row>
    <row r="68" spans="1:8" ht="18.75" x14ac:dyDescent="0.25">
      <c r="A68" s="14">
        <f t="shared" si="0"/>
        <v>63</v>
      </c>
      <c r="B68" s="16"/>
      <c r="C68" s="16" t="s">
        <v>433</v>
      </c>
      <c r="D68" s="16"/>
      <c r="E68" s="17" t="s">
        <v>94</v>
      </c>
      <c r="F68" s="18"/>
      <c r="G68" s="19"/>
      <c r="H68" s="54"/>
    </row>
    <row r="69" spans="1:8" ht="18.75" x14ac:dyDescent="0.25">
      <c r="A69" s="14">
        <f t="shared" si="0"/>
        <v>64</v>
      </c>
      <c r="B69" s="16"/>
      <c r="C69" s="16" t="s">
        <v>435</v>
      </c>
      <c r="D69" s="16"/>
      <c r="E69" s="17" t="s">
        <v>91</v>
      </c>
      <c r="F69" s="18"/>
      <c r="G69" s="19"/>
      <c r="H69" s="54"/>
    </row>
    <row r="70" spans="1:8" ht="18.75" x14ac:dyDescent="0.25">
      <c r="A70" s="14">
        <f t="shared" si="0"/>
        <v>65</v>
      </c>
      <c r="B70" s="16"/>
      <c r="C70" s="16" t="s">
        <v>78</v>
      </c>
      <c r="D70" s="16"/>
      <c r="E70" s="17" t="s">
        <v>101</v>
      </c>
      <c r="F70" s="18"/>
      <c r="G70" s="19"/>
      <c r="H70" s="54"/>
    </row>
    <row r="71" spans="1:8" ht="18.75" x14ac:dyDescent="0.25">
      <c r="A71" s="14">
        <f t="shared" ref="A71:A134" si="1">+A70+1</f>
        <v>66</v>
      </c>
      <c r="B71" s="16"/>
      <c r="C71" s="16" t="s">
        <v>436</v>
      </c>
      <c r="D71" s="16"/>
      <c r="E71" s="17" t="s">
        <v>95</v>
      </c>
      <c r="F71" s="18"/>
      <c r="G71" s="19"/>
      <c r="H71" s="54"/>
    </row>
    <row r="72" spans="1:8" ht="18.75" x14ac:dyDescent="0.25">
      <c r="A72" s="14">
        <f t="shared" si="1"/>
        <v>67</v>
      </c>
      <c r="B72" s="16"/>
      <c r="C72" s="16"/>
      <c r="D72" s="16" t="s">
        <v>339</v>
      </c>
      <c r="E72" s="17" t="s">
        <v>90</v>
      </c>
      <c r="F72" s="18"/>
      <c r="G72" s="19"/>
      <c r="H72" s="54"/>
    </row>
    <row r="73" spans="1:8" ht="18.75" x14ac:dyDescent="0.25">
      <c r="A73" s="14">
        <f t="shared" si="1"/>
        <v>68</v>
      </c>
      <c r="B73" s="16"/>
      <c r="C73" s="16"/>
      <c r="D73" s="16" t="s">
        <v>340</v>
      </c>
      <c r="E73" s="17" t="s">
        <v>90</v>
      </c>
      <c r="F73" s="18"/>
      <c r="G73" s="19"/>
      <c r="H73" s="54"/>
    </row>
    <row r="74" spans="1:8" ht="18.75" x14ac:dyDescent="0.25">
      <c r="A74" s="14">
        <f t="shared" si="1"/>
        <v>69</v>
      </c>
      <c r="B74" s="16"/>
      <c r="C74" s="16" t="s">
        <v>161</v>
      </c>
      <c r="D74" s="16"/>
      <c r="E74" s="17" t="s">
        <v>90</v>
      </c>
      <c r="F74" s="18"/>
      <c r="G74" s="19"/>
      <c r="H74" s="54"/>
    </row>
    <row r="75" spans="1:8" ht="37.5" x14ac:dyDescent="0.25">
      <c r="A75" s="14">
        <f t="shared" si="1"/>
        <v>70</v>
      </c>
      <c r="B75" s="16" t="s">
        <v>475</v>
      </c>
      <c r="C75" s="16" t="s">
        <v>78</v>
      </c>
      <c r="D75" s="16"/>
      <c r="E75" s="17" t="s">
        <v>101</v>
      </c>
      <c r="F75" s="18"/>
      <c r="G75" s="19"/>
      <c r="H75" s="54"/>
    </row>
    <row r="76" spans="1:8" ht="18.75" x14ac:dyDescent="0.25">
      <c r="A76" s="14">
        <f t="shared" si="1"/>
        <v>71</v>
      </c>
      <c r="B76" s="16"/>
      <c r="C76" s="16" t="s">
        <v>440</v>
      </c>
      <c r="D76" s="16"/>
      <c r="E76" s="17" t="s">
        <v>89</v>
      </c>
      <c r="F76" s="18"/>
      <c r="G76" s="19"/>
      <c r="H76" s="54"/>
    </row>
    <row r="77" spans="1:8" ht="18.75" x14ac:dyDescent="0.25">
      <c r="A77" s="14">
        <f t="shared" si="1"/>
        <v>72</v>
      </c>
      <c r="B77" s="16"/>
      <c r="C77" s="16" t="s">
        <v>441</v>
      </c>
      <c r="D77" s="16"/>
      <c r="E77" s="17" t="s">
        <v>120</v>
      </c>
      <c r="F77" s="18"/>
      <c r="G77" s="19"/>
      <c r="H77" s="54"/>
    </row>
    <row r="78" spans="1:8" ht="18.75" x14ac:dyDescent="0.25">
      <c r="A78" s="14">
        <f t="shared" si="1"/>
        <v>73</v>
      </c>
      <c r="B78" s="16"/>
      <c r="C78" s="16" t="s">
        <v>442</v>
      </c>
      <c r="D78" s="16"/>
      <c r="E78" s="17" t="s">
        <v>120</v>
      </c>
      <c r="F78" s="18"/>
      <c r="G78" s="19"/>
      <c r="H78" s="54"/>
    </row>
    <row r="79" spans="1:8" ht="18.75" x14ac:dyDescent="0.25">
      <c r="A79" s="14">
        <f t="shared" si="1"/>
        <v>74</v>
      </c>
      <c r="B79" s="16"/>
      <c r="C79" s="16" t="s">
        <v>443</v>
      </c>
      <c r="D79" s="16"/>
      <c r="E79" s="17" t="s">
        <v>95</v>
      </c>
      <c r="F79" s="18"/>
      <c r="G79" s="19"/>
      <c r="H79" s="54"/>
    </row>
    <row r="80" spans="1:8" ht="18.75" x14ac:dyDescent="0.25">
      <c r="A80" s="14">
        <f t="shared" si="1"/>
        <v>75</v>
      </c>
      <c r="B80" s="16"/>
      <c r="C80" s="16" t="s">
        <v>444</v>
      </c>
      <c r="D80" s="16"/>
      <c r="E80" s="17" t="s">
        <v>95</v>
      </c>
      <c r="F80" s="18"/>
      <c r="G80" s="19"/>
      <c r="H80" s="54"/>
    </row>
    <row r="81" spans="1:8" ht="37.5" x14ac:dyDescent="0.25">
      <c r="A81" s="14">
        <f t="shared" si="1"/>
        <v>76</v>
      </c>
      <c r="B81" s="16" t="s">
        <v>476</v>
      </c>
      <c r="C81" s="16" t="s">
        <v>445</v>
      </c>
      <c r="D81" s="16"/>
      <c r="E81" s="17" t="s">
        <v>90</v>
      </c>
      <c r="F81" s="18"/>
      <c r="G81" s="19"/>
      <c r="H81" s="54"/>
    </row>
    <row r="82" spans="1:8" ht="18.75" x14ac:dyDescent="0.25">
      <c r="A82" s="14">
        <f t="shared" si="1"/>
        <v>77</v>
      </c>
      <c r="B82" s="16"/>
      <c r="C82" s="16" t="s">
        <v>441</v>
      </c>
      <c r="D82" s="16"/>
      <c r="E82" s="17" t="s">
        <v>91</v>
      </c>
      <c r="F82" s="18"/>
      <c r="G82" s="19"/>
      <c r="H82" s="54"/>
    </row>
    <row r="83" spans="1:8" ht="18.75" x14ac:dyDescent="0.25">
      <c r="A83" s="14">
        <f t="shared" si="1"/>
        <v>78</v>
      </c>
      <c r="B83" s="16"/>
      <c r="C83" s="16" t="s">
        <v>161</v>
      </c>
      <c r="D83" s="16"/>
      <c r="E83" s="17" t="s">
        <v>90</v>
      </c>
      <c r="F83" s="18"/>
      <c r="G83" s="19"/>
      <c r="H83" s="54"/>
    </row>
    <row r="84" spans="1:8" ht="37.5" x14ac:dyDescent="0.25">
      <c r="A84" s="14">
        <f t="shared" si="1"/>
        <v>79</v>
      </c>
      <c r="B84" s="16" t="s">
        <v>477</v>
      </c>
      <c r="C84" s="16" t="s">
        <v>441</v>
      </c>
      <c r="D84" s="16"/>
      <c r="E84" s="17" t="s">
        <v>89</v>
      </c>
      <c r="F84" s="18"/>
      <c r="G84" s="19"/>
      <c r="H84" s="54"/>
    </row>
    <row r="85" spans="1:8" ht="18.75" x14ac:dyDescent="0.25">
      <c r="A85" s="14">
        <f t="shared" si="1"/>
        <v>80</v>
      </c>
      <c r="B85" s="16"/>
      <c r="C85" s="16" t="s">
        <v>446</v>
      </c>
      <c r="D85" s="16"/>
      <c r="E85" s="17" t="s">
        <v>120</v>
      </c>
      <c r="F85" s="18"/>
      <c r="G85" s="19"/>
      <c r="H85" s="54"/>
    </row>
    <row r="86" spans="1:8" ht="18.75" x14ac:dyDescent="0.25">
      <c r="A86" s="14">
        <f t="shared" si="1"/>
        <v>81</v>
      </c>
      <c r="B86" s="16"/>
      <c r="C86" s="16" t="s">
        <v>447</v>
      </c>
      <c r="D86" s="16"/>
      <c r="E86" s="17" t="s">
        <v>120</v>
      </c>
      <c r="F86" s="18"/>
      <c r="G86" s="19"/>
      <c r="H86" s="54"/>
    </row>
    <row r="87" spans="1:8" ht="37.5" x14ac:dyDescent="0.25">
      <c r="A87" s="14">
        <f t="shared" si="1"/>
        <v>82</v>
      </c>
      <c r="B87" s="16"/>
      <c r="C87" s="16" t="s">
        <v>448</v>
      </c>
      <c r="D87" s="16"/>
      <c r="E87" s="17" t="s">
        <v>95</v>
      </c>
      <c r="F87" s="18"/>
      <c r="G87" s="19"/>
      <c r="H87" s="54"/>
    </row>
    <row r="88" spans="1:8" ht="18.75" x14ac:dyDescent="0.25">
      <c r="A88" s="14">
        <f t="shared" si="1"/>
        <v>83</v>
      </c>
      <c r="B88" s="16"/>
      <c r="C88" s="16" t="s">
        <v>449</v>
      </c>
      <c r="D88" s="16"/>
      <c r="E88" s="17" t="s">
        <v>95</v>
      </c>
      <c r="F88" s="18"/>
      <c r="G88" s="19"/>
      <c r="H88" s="54"/>
    </row>
    <row r="89" spans="1:8" ht="37.5" x14ac:dyDescent="0.25">
      <c r="A89" s="14">
        <f t="shared" si="1"/>
        <v>84</v>
      </c>
      <c r="B89" s="16" t="s">
        <v>478</v>
      </c>
      <c r="C89" s="16" t="s">
        <v>441</v>
      </c>
      <c r="D89" s="16"/>
      <c r="E89" s="17" t="s">
        <v>89</v>
      </c>
      <c r="F89" s="18"/>
      <c r="G89" s="19"/>
      <c r="H89" s="54"/>
    </row>
    <row r="90" spans="1:8" ht="18.75" x14ac:dyDescent="0.25">
      <c r="A90" s="14">
        <f t="shared" si="1"/>
        <v>85</v>
      </c>
      <c r="B90" s="16"/>
      <c r="C90" s="16" t="s">
        <v>446</v>
      </c>
      <c r="D90" s="16"/>
      <c r="E90" s="17" t="s">
        <v>120</v>
      </c>
      <c r="F90" s="18"/>
      <c r="G90" s="19"/>
      <c r="H90" s="54"/>
    </row>
    <row r="91" spans="1:8" ht="18.75" x14ac:dyDescent="0.25">
      <c r="A91" s="14">
        <f t="shared" si="1"/>
        <v>86</v>
      </c>
      <c r="B91" s="16"/>
      <c r="C91" s="16" t="s">
        <v>447</v>
      </c>
      <c r="D91" s="16"/>
      <c r="E91" s="17" t="s">
        <v>120</v>
      </c>
      <c r="F91" s="18"/>
      <c r="G91" s="19"/>
      <c r="H91" s="54"/>
    </row>
    <row r="92" spans="1:8" ht="37.5" x14ac:dyDescent="0.25">
      <c r="A92" s="14">
        <f t="shared" si="1"/>
        <v>87</v>
      </c>
      <c r="B92" s="16"/>
      <c r="C92" s="16" t="s">
        <v>448</v>
      </c>
      <c r="D92" s="16"/>
      <c r="E92" s="17" t="s">
        <v>95</v>
      </c>
      <c r="F92" s="18"/>
      <c r="G92" s="19"/>
      <c r="H92" s="54"/>
    </row>
    <row r="93" spans="1:8" ht="18.75" x14ac:dyDescent="0.25">
      <c r="A93" s="14">
        <f t="shared" si="1"/>
        <v>88</v>
      </c>
      <c r="B93" s="16"/>
      <c r="C93" s="16" t="s">
        <v>450</v>
      </c>
      <c r="D93" s="16"/>
      <c r="E93" s="17" t="s">
        <v>95</v>
      </c>
      <c r="F93" s="18"/>
      <c r="G93" s="19"/>
      <c r="H93" s="54"/>
    </row>
    <row r="94" spans="1:8" ht="18.75" x14ac:dyDescent="0.25">
      <c r="A94" s="14">
        <f t="shared" si="1"/>
        <v>89</v>
      </c>
      <c r="B94" s="16" t="s">
        <v>479</v>
      </c>
      <c r="C94" s="16" t="s">
        <v>451</v>
      </c>
      <c r="D94" s="16"/>
      <c r="E94" s="17" t="s">
        <v>90</v>
      </c>
      <c r="F94" s="18"/>
      <c r="G94" s="19"/>
      <c r="H94" s="54"/>
    </row>
    <row r="95" spans="1:8" ht="18.75" x14ac:dyDescent="0.25">
      <c r="A95" s="14">
        <f t="shared" si="1"/>
        <v>90</v>
      </c>
      <c r="B95" s="16"/>
      <c r="C95" s="16" t="s">
        <v>433</v>
      </c>
      <c r="D95" s="16"/>
      <c r="E95" s="17" t="s">
        <v>94</v>
      </c>
      <c r="F95" s="18"/>
      <c r="G95" s="19"/>
      <c r="H95" s="54"/>
    </row>
    <row r="96" spans="1:8" ht="18.75" x14ac:dyDescent="0.25">
      <c r="A96" s="14">
        <f t="shared" si="1"/>
        <v>91</v>
      </c>
      <c r="B96" s="16"/>
      <c r="C96" s="16" t="s">
        <v>435</v>
      </c>
      <c r="D96" s="16"/>
      <c r="E96" s="17" t="s">
        <v>91</v>
      </c>
      <c r="F96" s="18"/>
      <c r="G96" s="19"/>
      <c r="H96" s="54"/>
    </row>
    <row r="97" spans="1:8" ht="18.75" x14ac:dyDescent="0.25">
      <c r="A97" s="14">
        <f t="shared" si="1"/>
        <v>92</v>
      </c>
      <c r="B97" s="16"/>
      <c r="C97" s="16" t="s">
        <v>78</v>
      </c>
      <c r="D97" s="16"/>
      <c r="E97" s="17" t="s">
        <v>101</v>
      </c>
      <c r="F97" s="18"/>
      <c r="G97" s="19"/>
      <c r="H97" s="54"/>
    </row>
    <row r="98" spans="1:8" ht="18.75" x14ac:dyDescent="0.25">
      <c r="A98" s="14">
        <f t="shared" si="1"/>
        <v>93</v>
      </c>
      <c r="B98" s="16"/>
      <c r="C98" s="16" t="s">
        <v>441</v>
      </c>
      <c r="D98" s="16"/>
      <c r="E98" s="17" t="s">
        <v>101</v>
      </c>
      <c r="F98" s="18"/>
      <c r="G98" s="19"/>
      <c r="H98" s="54"/>
    </row>
    <row r="99" spans="1:8" ht="18.75" x14ac:dyDescent="0.25">
      <c r="A99" s="14">
        <f t="shared" si="1"/>
        <v>94</v>
      </c>
      <c r="B99" s="16"/>
      <c r="C99" s="16" t="s">
        <v>452</v>
      </c>
      <c r="D99" s="16"/>
      <c r="E99" s="17" t="s">
        <v>95</v>
      </c>
      <c r="F99" s="18"/>
      <c r="G99" s="19"/>
      <c r="H99" s="54"/>
    </row>
    <row r="100" spans="1:8" ht="18.75" x14ac:dyDescent="0.25">
      <c r="A100" s="14">
        <f t="shared" si="1"/>
        <v>95</v>
      </c>
      <c r="B100" s="16"/>
      <c r="C100" s="16"/>
      <c r="D100" s="16" t="s">
        <v>339</v>
      </c>
      <c r="E100" s="17" t="s">
        <v>90</v>
      </c>
      <c r="F100" s="18"/>
      <c r="G100" s="19"/>
      <c r="H100" s="54"/>
    </row>
    <row r="101" spans="1:8" ht="18.75" x14ac:dyDescent="0.25">
      <c r="A101" s="14">
        <f t="shared" si="1"/>
        <v>96</v>
      </c>
      <c r="B101" s="16"/>
      <c r="C101" s="16"/>
      <c r="D101" s="16" t="s">
        <v>340</v>
      </c>
      <c r="E101" s="17" t="s">
        <v>90</v>
      </c>
      <c r="F101" s="18"/>
      <c r="G101" s="19"/>
      <c r="H101" s="54"/>
    </row>
    <row r="102" spans="1:8" ht="18.75" x14ac:dyDescent="0.25">
      <c r="A102" s="14">
        <f t="shared" si="1"/>
        <v>97</v>
      </c>
      <c r="B102" s="16"/>
      <c r="C102" s="16" t="s">
        <v>161</v>
      </c>
      <c r="D102" s="16"/>
      <c r="E102" s="17" t="s">
        <v>90</v>
      </c>
      <c r="F102" s="18"/>
      <c r="G102" s="19"/>
      <c r="H102" s="54"/>
    </row>
    <row r="103" spans="1:8" ht="37.5" x14ac:dyDescent="0.25">
      <c r="A103" s="14">
        <f t="shared" si="1"/>
        <v>98</v>
      </c>
      <c r="B103" s="16" t="s">
        <v>480</v>
      </c>
      <c r="C103" s="16" t="s">
        <v>441</v>
      </c>
      <c r="D103" s="16"/>
      <c r="E103" s="17" t="s">
        <v>120</v>
      </c>
      <c r="F103" s="18"/>
      <c r="G103" s="19"/>
      <c r="H103" s="54"/>
    </row>
    <row r="104" spans="1:8" ht="18.75" x14ac:dyDescent="0.25">
      <c r="A104" s="14">
        <f t="shared" si="1"/>
        <v>99</v>
      </c>
      <c r="B104" s="16"/>
      <c r="C104" s="16" t="s">
        <v>335</v>
      </c>
      <c r="D104" s="16"/>
      <c r="E104" s="17" t="s">
        <v>89</v>
      </c>
      <c r="F104" s="18"/>
      <c r="G104" s="19"/>
      <c r="H104" s="54"/>
    </row>
    <row r="105" spans="1:8" ht="18.75" x14ac:dyDescent="0.25">
      <c r="A105" s="14">
        <f t="shared" si="1"/>
        <v>100</v>
      </c>
      <c r="B105" s="16"/>
      <c r="C105" s="16" t="s">
        <v>442</v>
      </c>
      <c r="D105" s="16"/>
      <c r="E105" s="17" t="s">
        <v>120</v>
      </c>
      <c r="F105" s="18"/>
      <c r="G105" s="19"/>
      <c r="H105" s="54"/>
    </row>
    <row r="106" spans="1:8" ht="18.75" x14ac:dyDescent="0.25">
      <c r="A106" s="14">
        <f t="shared" si="1"/>
        <v>101</v>
      </c>
      <c r="B106" s="16"/>
      <c r="C106" s="16" t="s">
        <v>453</v>
      </c>
      <c r="D106" s="16"/>
      <c r="E106" s="17" t="s">
        <v>95</v>
      </c>
      <c r="F106" s="18"/>
      <c r="G106" s="19"/>
      <c r="H106" s="54"/>
    </row>
    <row r="107" spans="1:8" ht="18.75" x14ac:dyDescent="0.25">
      <c r="A107" s="14">
        <f t="shared" si="1"/>
        <v>102</v>
      </c>
      <c r="B107" s="16"/>
      <c r="C107" s="16" t="s">
        <v>454</v>
      </c>
      <c r="D107" s="16"/>
      <c r="E107" s="17" t="s">
        <v>95</v>
      </c>
      <c r="F107" s="18"/>
      <c r="G107" s="19"/>
      <c r="H107" s="54"/>
    </row>
    <row r="108" spans="1:8" ht="37.5" x14ac:dyDescent="0.25">
      <c r="A108" s="14">
        <f t="shared" si="1"/>
        <v>103</v>
      </c>
      <c r="B108" s="16" t="s">
        <v>481</v>
      </c>
      <c r="C108" s="16" t="s">
        <v>78</v>
      </c>
      <c r="D108" s="16"/>
      <c r="E108" s="17" t="s">
        <v>89</v>
      </c>
      <c r="F108" s="18"/>
      <c r="G108" s="19"/>
      <c r="H108" s="54"/>
    </row>
    <row r="109" spans="1:8" ht="18.75" x14ac:dyDescent="0.25">
      <c r="A109" s="14">
        <f t="shared" si="1"/>
        <v>104</v>
      </c>
      <c r="B109" s="16"/>
      <c r="C109" s="16" t="s">
        <v>441</v>
      </c>
      <c r="D109" s="16"/>
      <c r="E109" s="17" t="s">
        <v>120</v>
      </c>
      <c r="F109" s="18"/>
      <c r="G109" s="19"/>
      <c r="H109" s="54"/>
    </row>
    <row r="110" spans="1:8" ht="18.75" x14ac:dyDescent="0.25">
      <c r="A110" s="14">
        <f t="shared" si="1"/>
        <v>105</v>
      </c>
      <c r="B110" s="16"/>
      <c r="C110" s="16" t="s">
        <v>442</v>
      </c>
      <c r="D110" s="16"/>
      <c r="E110" s="17" t="s">
        <v>120</v>
      </c>
      <c r="F110" s="18"/>
      <c r="G110" s="19"/>
      <c r="H110" s="54"/>
    </row>
    <row r="111" spans="1:8" ht="18.75" x14ac:dyDescent="0.25">
      <c r="A111" s="14">
        <f t="shared" si="1"/>
        <v>106</v>
      </c>
      <c r="B111" s="16"/>
      <c r="C111" s="16" t="s">
        <v>453</v>
      </c>
      <c r="D111" s="16"/>
      <c r="E111" s="17" t="s">
        <v>95</v>
      </c>
      <c r="F111" s="18"/>
      <c r="G111" s="19"/>
      <c r="H111" s="54"/>
    </row>
    <row r="112" spans="1:8" ht="18.75" x14ac:dyDescent="0.25">
      <c r="A112" s="14">
        <f t="shared" si="1"/>
        <v>107</v>
      </c>
      <c r="B112" s="16"/>
      <c r="C112" s="16" t="s">
        <v>455</v>
      </c>
      <c r="D112" s="16"/>
      <c r="E112" s="17" t="s">
        <v>95</v>
      </c>
      <c r="F112" s="18"/>
      <c r="G112" s="19"/>
      <c r="H112" s="54"/>
    </row>
    <row r="113" spans="1:8" ht="18.75" x14ac:dyDescent="0.25">
      <c r="A113" s="14">
        <f t="shared" si="1"/>
        <v>108</v>
      </c>
      <c r="B113" s="16" t="s">
        <v>482</v>
      </c>
      <c r="C113" s="16" t="s">
        <v>456</v>
      </c>
      <c r="D113" s="16"/>
      <c r="E113" s="17" t="s">
        <v>90</v>
      </c>
      <c r="F113" s="18"/>
      <c r="G113" s="19"/>
      <c r="H113" s="54"/>
    </row>
    <row r="114" spans="1:8" ht="18.75" x14ac:dyDescent="0.25">
      <c r="A114" s="14">
        <f t="shared" si="1"/>
        <v>109</v>
      </c>
      <c r="B114" s="16"/>
      <c r="C114" s="16" t="s">
        <v>457</v>
      </c>
      <c r="D114" s="16"/>
      <c r="E114" s="17" t="s">
        <v>91</v>
      </c>
      <c r="F114" s="18"/>
      <c r="G114" s="19"/>
      <c r="H114" s="54"/>
    </row>
    <row r="115" spans="1:8" ht="18.75" x14ac:dyDescent="0.25">
      <c r="A115" s="14">
        <f t="shared" si="1"/>
        <v>110</v>
      </c>
      <c r="B115" s="16"/>
      <c r="C115" s="16" t="s">
        <v>148</v>
      </c>
      <c r="D115" s="16"/>
      <c r="E115" s="17" t="s">
        <v>101</v>
      </c>
      <c r="F115" s="18"/>
      <c r="G115" s="19"/>
      <c r="H115" s="54"/>
    </row>
    <row r="116" spans="1:8" ht="18.75" x14ac:dyDescent="0.25">
      <c r="A116" s="14">
        <f t="shared" si="1"/>
        <v>111</v>
      </c>
      <c r="B116" s="16"/>
      <c r="C116" s="16" t="s">
        <v>459</v>
      </c>
      <c r="D116" s="16"/>
      <c r="E116" s="17" t="s">
        <v>90</v>
      </c>
      <c r="F116" s="18"/>
      <c r="G116" s="19"/>
      <c r="H116" s="54"/>
    </row>
    <row r="117" spans="1:8" ht="18.75" x14ac:dyDescent="0.25">
      <c r="A117" s="14">
        <f t="shared" si="1"/>
        <v>112</v>
      </c>
      <c r="B117" s="16"/>
      <c r="C117" s="16" t="s">
        <v>458</v>
      </c>
      <c r="D117" s="16"/>
      <c r="E117" s="17" t="s">
        <v>95</v>
      </c>
      <c r="F117" s="18"/>
      <c r="G117" s="19"/>
      <c r="H117" s="54"/>
    </row>
    <row r="118" spans="1:8" ht="18.75" x14ac:dyDescent="0.25">
      <c r="A118" s="14">
        <f t="shared" si="1"/>
        <v>113</v>
      </c>
      <c r="B118" s="16"/>
      <c r="C118" s="16"/>
      <c r="D118" s="16" t="s">
        <v>339</v>
      </c>
      <c r="E118" s="17" t="s">
        <v>90</v>
      </c>
      <c r="F118" s="18"/>
      <c r="G118" s="19"/>
      <c r="H118" s="54"/>
    </row>
    <row r="119" spans="1:8" ht="18.75" x14ac:dyDescent="0.25">
      <c r="A119" s="14">
        <f t="shared" si="1"/>
        <v>114</v>
      </c>
      <c r="B119" s="16"/>
      <c r="C119" s="16"/>
      <c r="D119" s="16" t="s">
        <v>340</v>
      </c>
      <c r="E119" s="17" t="s">
        <v>90</v>
      </c>
      <c r="F119" s="18"/>
      <c r="G119" s="19"/>
      <c r="H119" s="54"/>
    </row>
    <row r="120" spans="1:8" ht="37.5" x14ac:dyDescent="0.25">
      <c r="A120" s="14">
        <f t="shared" si="1"/>
        <v>115</v>
      </c>
      <c r="B120" s="16" t="s">
        <v>483</v>
      </c>
      <c r="C120" s="16" t="s">
        <v>457</v>
      </c>
      <c r="D120" s="16"/>
      <c r="E120" s="17" t="s">
        <v>101</v>
      </c>
      <c r="F120" s="18"/>
      <c r="G120" s="19"/>
      <c r="H120" s="54"/>
    </row>
    <row r="121" spans="1:8" ht="18.75" x14ac:dyDescent="0.25">
      <c r="A121" s="14">
        <f t="shared" si="1"/>
        <v>116</v>
      </c>
      <c r="B121" s="16"/>
      <c r="C121" s="16" t="s">
        <v>148</v>
      </c>
      <c r="D121" s="16"/>
      <c r="E121" s="17" t="s">
        <v>101</v>
      </c>
      <c r="F121" s="18"/>
      <c r="G121" s="19"/>
      <c r="H121" s="54"/>
    </row>
    <row r="122" spans="1:8" ht="18.75" x14ac:dyDescent="0.25">
      <c r="A122" s="14">
        <f t="shared" si="1"/>
        <v>117</v>
      </c>
      <c r="B122" s="16"/>
      <c r="C122" s="16" t="s">
        <v>460</v>
      </c>
      <c r="D122" s="16"/>
      <c r="E122" s="17" t="s">
        <v>95</v>
      </c>
      <c r="F122" s="18"/>
      <c r="G122" s="19"/>
      <c r="H122" s="54"/>
    </row>
    <row r="123" spans="1:8" ht="18.75" x14ac:dyDescent="0.25">
      <c r="A123" s="14">
        <f t="shared" si="1"/>
        <v>118</v>
      </c>
      <c r="B123" s="16"/>
      <c r="C123" s="16" t="s">
        <v>461</v>
      </c>
      <c r="D123" s="16"/>
      <c r="E123" s="17" t="s">
        <v>95</v>
      </c>
      <c r="F123" s="18"/>
      <c r="G123" s="19"/>
      <c r="H123" s="54"/>
    </row>
    <row r="124" spans="1:8" ht="37.5" x14ac:dyDescent="0.25">
      <c r="A124" s="14">
        <f t="shared" si="1"/>
        <v>119</v>
      </c>
      <c r="B124" s="16" t="s">
        <v>484</v>
      </c>
      <c r="C124" s="16" t="s">
        <v>457</v>
      </c>
      <c r="D124" s="16"/>
      <c r="E124" s="17" t="s">
        <v>101</v>
      </c>
      <c r="F124" s="18"/>
      <c r="G124" s="19"/>
      <c r="H124" s="54"/>
    </row>
    <row r="125" spans="1:8" ht="18.75" x14ac:dyDescent="0.25">
      <c r="A125" s="14">
        <f t="shared" si="1"/>
        <v>120</v>
      </c>
      <c r="B125" s="16"/>
      <c r="C125" s="16" t="s">
        <v>148</v>
      </c>
      <c r="D125" s="16"/>
      <c r="E125" s="17" t="s">
        <v>101</v>
      </c>
      <c r="F125" s="18"/>
      <c r="G125" s="19"/>
      <c r="H125" s="54"/>
    </row>
    <row r="126" spans="1:8" ht="18.75" x14ac:dyDescent="0.25">
      <c r="A126" s="14">
        <f t="shared" si="1"/>
        <v>121</v>
      </c>
      <c r="B126" s="16"/>
      <c r="C126" s="16" t="s">
        <v>460</v>
      </c>
      <c r="D126" s="16"/>
      <c r="E126" s="17" t="s">
        <v>95</v>
      </c>
      <c r="F126" s="18"/>
      <c r="G126" s="19"/>
      <c r="H126" s="54"/>
    </row>
    <row r="127" spans="1:8" ht="18.75" x14ac:dyDescent="0.25">
      <c r="A127" s="14">
        <f t="shared" si="1"/>
        <v>122</v>
      </c>
      <c r="B127" s="16"/>
      <c r="C127" s="16" t="s">
        <v>462</v>
      </c>
      <c r="D127" s="16"/>
      <c r="E127" s="17" t="s">
        <v>95</v>
      </c>
      <c r="F127" s="18"/>
      <c r="G127" s="19"/>
      <c r="H127" s="54"/>
    </row>
    <row r="128" spans="1:8" ht="37.5" x14ac:dyDescent="0.25">
      <c r="A128" s="14">
        <f t="shared" si="1"/>
        <v>123</v>
      </c>
      <c r="B128" s="16" t="s">
        <v>485</v>
      </c>
      <c r="C128" s="16" t="s">
        <v>463</v>
      </c>
      <c r="D128" s="16"/>
      <c r="E128" s="17" t="s">
        <v>90</v>
      </c>
      <c r="F128" s="18"/>
      <c r="G128" s="19"/>
      <c r="H128" s="54"/>
    </row>
    <row r="129" spans="1:8" ht="18.75" x14ac:dyDescent="0.25">
      <c r="A129" s="14">
        <f t="shared" si="1"/>
        <v>124</v>
      </c>
      <c r="B129" s="16"/>
      <c r="C129" s="16" t="s">
        <v>433</v>
      </c>
      <c r="D129" s="16"/>
      <c r="E129" s="17" t="s">
        <v>94</v>
      </c>
      <c r="F129" s="18"/>
      <c r="G129" s="19"/>
      <c r="H129" s="54"/>
    </row>
    <row r="130" spans="1:8" ht="18.75" x14ac:dyDescent="0.25">
      <c r="A130" s="14">
        <f t="shared" si="1"/>
        <v>125</v>
      </c>
      <c r="B130" s="16"/>
      <c r="C130" s="16" t="s">
        <v>435</v>
      </c>
      <c r="D130" s="16"/>
      <c r="E130" s="17" t="s">
        <v>101</v>
      </c>
      <c r="F130" s="18"/>
      <c r="G130" s="19"/>
      <c r="H130" s="54"/>
    </row>
    <row r="131" spans="1:8" ht="18.75" x14ac:dyDescent="0.25">
      <c r="A131" s="14">
        <f t="shared" si="1"/>
        <v>126</v>
      </c>
      <c r="B131" s="16"/>
      <c r="C131" s="16" t="s">
        <v>78</v>
      </c>
      <c r="D131" s="16"/>
      <c r="E131" s="17" t="s">
        <v>101</v>
      </c>
      <c r="F131" s="18"/>
      <c r="G131" s="19"/>
      <c r="H131" s="54"/>
    </row>
    <row r="132" spans="1:8" ht="18.75" x14ac:dyDescent="0.25">
      <c r="A132" s="14">
        <f t="shared" si="1"/>
        <v>127</v>
      </c>
      <c r="B132" s="16"/>
      <c r="C132" s="16" t="s">
        <v>457</v>
      </c>
      <c r="D132" s="16"/>
      <c r="E132" s="17" t="s">
        <v>101</v>
      </c>
      <c r="F132" s="18"/>
      <c r="G132" s="19"/>
      <c r="H132" s="54"/>
    </row>
    <row r="133" spans="1:8" ht="18.75" x14ac:dyDescent="0.25">
      <c r="A133" s="14">
        <f t="shared" si="1"/>
        <v>128</v>
      </c>
      <c r="B133" s="16"/>
      <c r="C133" s="16" t="s">
        <v>464</v>
      </c>
      <c r="D133" s="16"/>
      <c r="E133" s="17" t="s">
        <v>95</v>
      </c>
      <c r="F133" s="18"/>
      <c r="G133" s="19"/>
      <c r="H133" s="54"/>
    </row>
    <row r="134" spans="1:8" ht="18.75" x14ac:dyDescent="0.25">
      <c r="A134" s="14">
        <f t="shared" si="1"/>
        <v>129</v>
      </c>
      <c r="B134" s="16"/>
      <c r="C134" s="16"/>
      <c r="D134" s="16" t="s">
        <v>339</v>
      </c>
      <c r="E134" s="17" t="s">
        <v>90</v>
      </c>
      <c r="F134" s="18"/>
      <c r="G134" s="19"/>
      <c r="H134" s="54"/>
    </row>
    <row r="135" spans="1:8" ht="18.75" x14ac:dyDescent="0.25">
      <c r="A135" s="14">
        <f t="shared" ref="A135:A147" si="2">+A134+1</f>
        <v>130</v>
      </c>
      <c r="B135" s="16"/>
      <c r="C135" s="16"/>
      <c r="D135" s="16" t="s">
        <v>340</v>
      </c>
      <c r="E135" s="17" t="s">
        <v>90</v>
      </c>
      <c r="F135" s="18"/>
      <c r="G135" s="19"/>
      <c r="H135" s="54"/>
    </row>
    <row r="136" spans="1:8" ht="18.75" x14ac:dyDescent="0.25">
      <c r="A136" s="14">
        <f t="shared" si="2"/>
        <v>131</v>
      </c>
      <c r="B136" s="16" t="s">
        <v>465</v>
      </c>
      <c r="C136" s="16" t="s">
        <v>457</v>
      </c>
      <c r="D136" s="16"/>
      <c r="E136" s="17" t="s">
        <v>101</v>
      </c>
      <c r="F136" s="18"/>
      <c r="G136" s="19"/>
      <c r="H136" s="54"/>
    </row>
    <row r="137" spans="1:8" ht="18.75" x14ac:dyDescent="0.25">
      <c r="A137" s="14">
        <f t="shared" si="2"/>
        <v>132</v>
      </c>
      <c r="B137" s="16"/>
      <c r="C137" s="16" t="s">
        <v>335</v>
      </c>
      <c r="D137" s="16"/>
      <c r="E137" s="17" t="s">
        <v>89</v>
      </c>
      <c r="F137" s="18"/>
      <c r="G137" s="19"/>
      <c r="H137" s="54"/>
    </row>
    <row r="138" spans="1:8" ht="18.75" x14ac:dyDescent="0.25">
      <c r="A138" s="14">
        <f t="shared" si="2"/>
        <v>133</v>
      </c>
      <c r="B138" s="16"/>
      <c r="C138" s="16" t="s">
        <v>466</v>
      </c>
      <c r="D138" s="16"/>
      <c r="E138" s="17" t="s">
        <v>95</v>
      </c>
      <c r="F138" s="18"/>
      <c r="G138" s="19"/>
      <c r="H138" s="54"/>
    </row>
    <row r="139" spans="1:8" ht="18.75" x14ac:dyDescent="0.25">
      <c r="A139" s="14">
        <f t="shared" si="2"/>
        <v>134</v>
      </c>
      <c r="B139" s="16"/>
      <c r="C139" s="16" t="s">
        <v>467</v>
      </c>
      <c r="D139" s="16"/>
      <c r="E139" s="17" t="s">
        <v>95</v>
      </c>
      <c r="F139" s="18"/>
      <c r="G139" s="19"/>
      <c r="H139" s="54"/>
    </row>
    <row r="140" spans="1:8" ht="18.75" x14ac:dyDescent="0.25">
      <c r="A140" s="14">
        <f t="shared" si="2"/>
        <v>135</v>
      </c>
      <c r="B140" s="16" t="s">
        <v>486</v>
      </c>
      <c r="C140" s="16" t="s">
        <v>15</v>
      </c>
      <c r="D140" s="16"/>
      <c r="E140" s="17" t="s">
        <v>548</v>
      </c>
      <c r="F140" s="18"/>
      <c r="G140" s="19"/>
      <c r="H140" s="54"/>
    </row>
    <row r="141" spans="1:8" ht="18.75" x14ac:dyDescent="0.25">
      <c r="A141" s="14">
        <f t="shared" si="2"/>
        <v>136</v>
      </c>
      <c r="B141" s="16"/>
      <c r="C141" s="16" t="s">
        <v>20</v>
      </c>
      <c r="D141" s="16"/>
      <c r="E141" s="17" t="s">
        <v>548</v>
      </c>
      <c r="F141" s="18"/>
      <c r="G141" s="19"/>
      <c r="H141" s="54"/>
    </row>
    <row r="142" spans="1:8" ht="18.75" x14ac:dyDescent="0.25">
      <c r="A142" s="14">
        <f t="shared" si="2"/>
        <v>137</v>
      </c>
      <c r="B142" s="16"/>
      <c r="C142" s="16" t="s">
        <v>59</v>
      </c>
      <c r="D142" s="16"/>
      <c r="E142" s="17" t="s">
        <v>548</v>
      </c>
      <c r="F142" s="18"/>
      <c r="G142" s="19"/>
      <c r="H142" s="54"/>
    </row>
    <row r="143" spans="1:8" ht="18.75" x14ac:dyDescent="0.25">
      <c r="A143" s="14">
        <f t="shared" si="2"/>
        <v>138</v>
      </c>
      <c r="B143" s="16"/>
      <c r="C143" s="16" t="s">
        <v>21</v>
      </c>
      <c r="D143" s="16"/>
      <c r="E143" s="17" t="s">
        <v>548</v>
      </c>
      <c r="F143" s="18"/>
      <c r="G143" s="19"/>
      <c r="H143" s="54"/>
    </row>
    <row r="144" spans="1:8" ht="18.75" x14ac:dyDescent="0.25">
      <c r="A144" s="14">
        <f t="shared" si="2"/>
        <v>139</v>
      </c>
      <c r="B144" s="16"/>
      <c r="C144" s="16" t="s">
        <v>22</v>
      </c>
      <c r="D144" s="16"/>
      <c r="E144" s="17" t="s">
        <v>548</v>
      </c>
      <c r="F144" s="18"/>
      <c r="G144" s="19"/>
      <c r="H144" s="54"/>
    </row>
    <row r="145" spans="1:8" ht="18.75" x14ac:dyDescent="0.25">
      <c r="A145" s="14">
        <f t="shared" si="2"/>
        <v>140</v>
      </c>
      <c r="B145" s="16"/>
      <c r="C145" s="16" t="s">
        <v>24</v>
      </c>
      <c r="D145" s="16"/>
      <c r="E145" s="17" t="s">
        <v>548</v>
      </c>
      <c r="F145" s="18"/>
      <c r="G145" s="19"/>
      <c r="H145" s="54"/>
    </row>
    <row r="146" spans="1:8" ht="18.75" x14ac:dyDescent="0.25">
      <c r="A146" s="14">
        <f t="shared" si="2"/>
        <v>141</v>
      </c>
      <c r="B146" s="16"/>
      <c r="C146" s="16" t="s">
        <v>25</v>
      </c>
      <c r="D146" s="16"/>
      <c r="E146" s="17" t="s">
        <v>548</v>
      </c>
      <c r="F146" s="18"/>
      <c r="G146" s="19"/>
      <c r="H146" s="54"/>
    </row>
    <row r="147" spans="1:8" ht="18.75" x14ac:dyDescent="0.25">
      <c r="A147" s="14">
        <f t="shared" si="2"/>
        <v>142</v>
      </c>
      <c r="B147" s="16"/>
      <c r="C147" s="16" t="s">
        <v>26</v>
      </c>
      <c r="D147" s="16"/>
      <c r="E147" s="17" t="s">
        <v>548</v>
      </c>
      <c r="F147" s="18"/>
      <c r="G147" s="19"/>
      <c r="H147" s="54"/>
    </row>
  </sheetData>
  <autoFilter ref="A5:H147"/>
  <conditionalFormatting sqref="F5 F8:F1048576">
    <cfRule type="cellIs" dxfId="155" priority="5" operator="equal">
      <formula>"Fail"</formula>
    </cfRule>
    <cfRule type="cellIs" dxfId="154" priority="6" operator="equal">
      <formula>"Pass"</formula>
    </cfRule>
  </conditionalFormatting>
  <conditionalFormatting sqref="F6:F7">
    <cfRule type="cellIs" dxfId="153" priority="3" operator="equal">
      <formula>"Fail"</formula>
    </cfRule>
    <cfRule type="cellIs" dxfId="152" priority="4" operator="equal">
      <formula>"Pass"</formula>
    </cfRule>
  </conditionalFormatting>
  <conditionalFormatting sqref="E1:E4">
    <cfRule type="cellIs" dxfId="151" priority="1" operator="equal">
      <formula>"Fail"</formula>
    </cfRule>
    <cfRule type="cellIs" dxfId="150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F6:F147">
      <formula1>Result</formula1>
    </dataValidation>
    <dataValidation type="list" allowBlank="1" showInputMessage="1" showErrorMessage="1" sqref="E6:E147">
      <formula1>Control_List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25"/>
  <sheetViews>
    <sheetView showGridLines="0" zoomScaleNormal="100" workbookViewId="0">
      <pane xSplit="1" ySplit="5" topLeftCell="B6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7.140625" style="57" bestFit="1" customWidth="1"/>
    <col min="2" max="2" width="40.7109375" style="52" customWidth="1"/>
    <col min="3" max="4" width="30.7109375" style="57" customWidth="1"/>
    <col min="5" max="5" width="20.42578125" style="57" bestFit="1" customWidth="1"/>
    <col min="6" max="6" width="16.5703125" style="57" bestFit="1" customWidth="1"/>
    <col min="7" max="7" width="15.85546875" style="57" bestFit="1" customWidth="1"/>
    <col min="8" max="8" width="50.7109375" style="52" customWidth="1"/>
    <col min="9" max="16384" width="9.140625" style="57"/>
  </cols>
  <sheetData>
    <row r="1" spans="1:8" ht="15.75" x14ac:dyDescent="0.25">
      <c r="A1" s="2"/>
      <c r="B1" s="81" t="s">
        <v>5</v>
      </c>
      <c r="C1" s="84" t="s">
        <v>501</v>
      </c>
      <c r="D1" s="85"/>
      <c r="E1" s="1"/>
      <c r="F1" s="64" t="s">
        <v>599</v>
      </c>
      <c r="G1" s="72">
        <f>COUNTIF(F:F,"Pass")</f>
        <v>0</v>
      </c>
      <c r="H1" s="86"/>
    </row>
    <row r="2" spans="1:8" ht="15.75" x14ac:dyDescent="0.25">
      <c r="A2" s="2"/>
      <c r="B2" s="82"/>
      <c r="C2" s="84" t="s">
        <v>502</v>
      </c>
      <c r="D2" s="85"/>
      <c r="E2" s="1"/>
      <c r="F2" s="65" t="s">
        <v>600</v>
      </c>
      <c r="G2" s="75">
        <f>COUNTIF(F:F,"Fail")</f>
        <v>0</v>
      </c>
      <c r="H2" s="86"/>
    </row>
    <row r="3" spans="1:8" ht="18.75" customHeight="1" x14ac:dyDescent="0.25">
      <c r="A3" s="2"/>
      <c r="B3" s="82"/>
      <c r="C3" s="84" t="s">
        <v>503</v>
      </c>
      <c r="D3" s="85" t="str">
        <f>IFERROR(INDEX(Workmatec_Instance_Iteration,MATCH(D2,Workmatec_Instance,0),2),"")</f>
        <v/>
      </c>
      <c r="E3" s="1"/>
      <c r="F3" s="66" t="s">
        <v>524</v>
      </c>
      <c r="G3" s="78">
        <f>COUNT(A:A)</f>
        <v>20</v>
      </c>
      <c r="H3" s="86"/>
    </row>
    <row r="4" spans="1:8" ht="16.5" thickBot="1" x14ac:dyDescent="0.3">
      <c r="A4" s="2"/>
      <c r="B4" s="83"/>
      <c r="C4" s="2"/>
      <c r="D4" s="79"/>
      <c r="E4" s="1"/>
      <c r="F4" s="67" t="s">
        <v>525</v>
      </c>
      <c r="G4" s="80">
        <f>+G3-(G1+G2)</f>
        <v>20</v>
      </c>
      <c r="H4" s="86"/>
    </row>
    <row r="5" spans="1:8" ht="19.5" thickBot="1" x14ac:dyDescent="0.3">
      <c r="A5" s="23" t="s">
        <v>8</v>
      </c>
      <c r="B5" s="48" t="s">
        <v>76</v>
      </c>
      <c r="C5" s="48" t="s">
        <v>77</v>
      </c>
      <c r="D5" s="48" t="s">
        <v>368</v>
      </c>
      <c r="E5" s="47" t="s">
        <v>88</v>
      </c>
      <c r="F5" s="49" t="s">
        <v>491</v>
      </c>
      <c r="G5" s="49" t="s">
        <v>53</v>
      </c>
      <c r="H5" s="53" t="s">
        <v>256</v>
      </c>
    </row>
    <row r="6" spans="1:8" ht="18.75" x14ac:dyDescent="0.25">
      <c r="A6" s="14">
        <v>1</v>
      </c>
      <c r="B6" s="16" t="s">
        <v>541</v>
      </c>
      <c r="C6" s="16" t="s">
        <v>529</v>
      </c>
      <c r="D6" s="16"/>
      <c r="E6" s="17" t="s">
        <v>123</v>
      </c>
      <c r="F6" s="18"/>
      <c r="G6" s="19"/>
      <c r="H6" s="54"/>
    </row>
    <row r="7" spans="1:8" ht="18.75" x14ac:dyDescent="0.25">
      <c r="A7" s="14">
        <f t="shared" ref="A7:A25" si="0">+A6+1</f>
        <v>2</v>
      </c>
      <c r="B7" s="16"/>
      <c r="C7" s="16" t="s">
        <v>528</v>
      </c>
      <c r="D7" s="16"/>
      <c r="E7" s="17" t="s">
        <v>123</v>
      </c>
      <c r="F7" s="18"/>
      <c r="G7" s="19"/>
      <c r="H7" s="54"/>
    </row>
    <row r="8" spans="1:8" ht="18.75" x14ac:dyDescent="0.25">
      <c r="A8" s="14">
        <f t="shared" si="0"/>
        <v>3</v>
      </c>
      <c r="B8" s="16"/>
      <c r="C8" s="16" t="s">
        <v>530</v>
      </c>
      <c r="D8" s="16"/>
      <c r="E8" s="17" t="s">
        <v>123</v>
      </c>
      <c r="F8" s="18"/>
      <c r="G8" s="19"/>
      <c r="H8" s="54"/>
    </row>
    <row r="9" spans="1:8" ht="18.75" x14ac:dyDescent="0.25">
      <c r="A9" s="14">
        <f t="shared" si="0"/>
        <v>4</v>
      </c>
      <c r="B9" s="16"/>
      <c r="C9" s="16" t="s">
        <v>531</v>
      </c>
      <c r="D9" s="16"/>
      <c r="E9" s="17" t="s">
        <v>123</v>
      </c>
      <c r="F9" s="18"/>
      <c r="G9" s="19"/>
      <c r="H9" s="54"/>
    </row>
    <row r="10" spans="1:8" ht="18.75" x14ac:dyDescent="0.25">
      <c r="A10" s="14">
        <f t="shared" si="0"/>
        <v>5</v>
      </c>
      <c r="B10" s="16"/>
      <c r="C10" s="16" t="s">
        <v>532</v>
      </c>
      <c r="D10" s="16"/>
      <c r="E10" s="17" t="s">
        <v>123</v>
      </c>
      <c r="F10" s="18"/>
      <c r="G10" s="19"/>
      <c r="H10" s="54"/>
    </row>
    <row r="11" spans="1:8" ht="18.75" x14ac:dyDescent="0.25">
      <c r="A11" s="14">
        <f t="shared" si="0"/>
        <v>6</v>
      </c>
      <c r="B11" s="16"/>
      <c r="C11" s="16" t="s">
        <v>533</v>
      </c>
      <c r="D11" s="16"/>
      <c r="E11" s="17" t="s">
        <v>123</v>
      </c>
      <c r="F11" s="18"/>
      <c r="G11" s="19"/>
      <c r="H11" s="54"/>
    </row>
    <row r="12" spans="1:8" ht="18.75" x14ac:dyDescent="0.25">
      <c r="A12" s="14">
        <f t="shared" si="0"/>
        <v>7</v>
      </c>
      <c r="B12" s="16"/>
      <c r="C12" s="16" t="s">
        <v>534</v>
      </c>
      <c r="D12" s="16"/>
      <c r="E12" s="17" t="s">
        <v>123</v>
      </c>
      <c r="F12" s="18"/>
      <c r="G12" s="19"/>
      <c r="H12" s="54"/>
    </row>
    <row r="13" spans="1:8" ht="18.75" x14ac:dyDescent="0.25">
      <c r="A13" s="14">
        <f t="shared" si="0"/>
        <v>8</v>
      </c>
      <c r="B13" s="16"/>
      <c r="C13" s="16" t="s">
        <v>538</v>
      </c>
      <c r="D13" s="16"/>
      <c r="E13" s="17" t="s">
        <v>123</v>
      </c>
      <c r="F13" s="18"/>
      <c r="G13" s="19"/>
      <c r="H13" s="54"/>
    </row>
    <row r="14" spans="1:8" ht="18.75" x14ac:dyDescent="0.25">
      <c r="A14" s="14">
        <f t="shared" si="0"/>
        <v>9</v>
      </c>
      <c r="B14" s="16"/>
      <c r="C14" s="16" t="s">
        <v>535</v>
      </c>
      <c r="D14" s="16"/>
      <c r="E14" s="17" t="s">
        <v>123</v>
      </c>
      <c r="F14" s="18"/>
      <c r="G14" s="19"/>
      <c r="H14" s="54"/>
    </row>
    <row r="15" spans="1:8" ht="18.75" x14ac:dyDescent="0.25">
      <c r="A15" s="14">
        <f t="shared" si="0"/>
        <v>10</v>
      </c>
      <c r="B15" s="16"/>
      <c r="C15" s="16" t="s">
        <v>536</v>
      </c>
      <c r="D15" s="16"/>
      <c r="E15" s="17" t="s">
        <v>123</v>
      </c>
      <c r="F15" s="18"/>
      <c r="G15" s="19"/>
      <c r="H15" s="54"/>
    </row>
    <row r="16" spans="1:8" ht="18.75" x14ac:dyDescent="0.25">
      <c r="A16" s="14">
        <f t="shared" si="0"/>
        <v>11</v>
      </c>
      <c r="B16" s="16"/>
      <c r="C16" s="16" t="s">
        <v>537</v>
      </c>
      <c r="D16" s="16"/>
      <c r="E16" s="17" t="s">
        <v>123</v>
      </c>
      <c r="F16" s="18"/>
      <c r="G16" s="19"/>
      <c r="H16" s="54"/>
    </row>
    <row r="17" spans="1:8" ht="18.75" x14ac:dyDescent="0.25">
      <c r="A17" s="14">
        <f t="shared" si="0"/>
        <v>12</v>
      </c>
      <c r="B17" s="16"/>
      <c r="C17" s="16" t="s">
        <v>539</v>
      </c>
      <c r="D17" s="16"/>
      <c r="E17" s="17" t="s">
        <v>123</v>
      </c>
      <c r="F17" s="18"/>
      <c r="G17" s="19"/>
      <c r="H17" s="54"/>
    </row>
    <row r="18" spans="1:8" ht="18.75" x14ac:dyDescent="0.25">
      <c r="A18" s="14">
        <f t="shared" si="0"/>
        <v>13</v>
      </c>
      <c r="B18" s="16"/>
      <c r="C18" s="16" t="s">
        <v>544</v>
      </c>
      <c r="D18" s="16"/>
      <c r="E18" s="17" t="s">
        <v>123</v>
      </c>
      <c r="F18" s="18"/>
      <c r="G18" s="19"/>
      <c r="H18" s="54"/>
    </row>
    <row r="19" spans="1:8" ht="18.75" x14ac:dyDescent="0.25">
      <c r="A19" s="14">
        <f t="shared" si="0"/>
        <v>14</v>
      </c>
      <c r="B19" s="16" t="s">
        <v>542</v>
      </c>
      <c r="C19" s="16" t="s">
        <v>543</v>
      </c>
      <c r="D19" s="16"/>
      <c r="E19" s="17" t="s">
        <v>123</v>
      </c>
      <c r="F19" s="18"/>
      <c r="G19" s="19"/>
      <c r="H19" s="54"/>
    </row>
    <row r="20" spans="1:8" ht="18.75" x14ac:dyDescent="0.25">
      <c r="A20" s="14">
        <f t="shared" si="0"/>
        <v>15</v>
      </c>
      <c r="B20" s="16"/>
      <c r="C20" s="16" t="s">
        <v>535</v>
      </c>
      <c r="D20" s="16"/>
      <c r="E20" s="17" t="s">
        <v>123</v>
      </c>
      <c r="F20" s="18"/>
      <c r="G20" s="19"/>
      <c r="H20" s="54"/>
    </row>
    <row r="21" spans="1:8" ht="18.75" x14ac:dyDescent="0.25">
      <c r="A21" s="14">
        <f t="shared" si="0"/>
        <v>16</v>
      </c>
      <c r="B21" s="16"/>
      <c r="C21" s="16" t="s">
        <v>536</v>
      </c>
      <c r="D21" s="16"/>
      <c r="E21" s="17" t="s">
        <v>123</v>
      </c>
      <c r="F21" s="18"/>
      <c r="G21" s="19"/>
      <c r="H21" s="54"/>
    </row>
    <row r="22" spans="1:8" ht="18.75" x14ac:dyDescent="0.25">
      <c r="A22" s="14">
        <f t="shared" si="0"/>
        <v>17</v>
      </c>
      <c r="B22" s="16"/>
      <c r="C22" s="16" t="s">
        <v>537</v>
      </c>
      <c r="D22" s="16"/>
      <c r="E22" s="17" t="s">
        <v>123</v>
      </c>
      <c r="F22" s="18"/>
      <c r="G22" s="19"/>
      <c r="H22" s="54"/>
    </row>
    <row r="23" spans="1:8" ht="18.75" x14ac:dyDescent="0.25">
      <c r="A23" s="14">
        <f t="shared" si="0"/>
        <v>18</v>
      </c>
      <c r="B23" s="16"/>
      <c r="C23" s="16" t="s">
        <v>540</v>
      </c>
      <c r="D23" s="16"/>
      <c r="E23" s="17" t="s">
        <v>123</v>
      </c>
      <c r="F23" s="18"/>
      <c r="G23" s="19"/>
      <c r="H23" s="54"/>
    </row>
    <row r="24" spans="1:8" ht="18.75" x14ac:dyDescent="0.25">
      <c r="A24" s="14">
        <f t="shared" si="0"/>
        <v>19</v>
      </c>
      <c r="B24" s="16" t="s">
        <v>546</v>
      </c>
      <c r="C24" s="16" t="s">
        <v>545</v>
      </c>
      <c r="D24" s="16"/>
      <c r="E24" s="17" t="s">
        <v>123</v>
      </c>
      <c r="F24" s="18"/>
      <c r="G24" s="19"/>
      <c r="H24" s="54"/>
    </row>
    <row r="25" spans="1:8" ht="18.75" x14ac:dyDescent="0.25">
      <c r="A25" s="14">
        <f t="shared" si="0"/>
        <v>20</v>
      </c>
      <c r="B25" s="16"/>
      <c r="C25" s="61" t="s">
        <v>589</v>
      </c>
      <c r="D25" s="16"/>
      <c r="E25" s="17" t="s">
        <v>123</v>
      </c>
      <c r="F25" s="18"/>
      <c r="G25" s="19"/>
      <c r="H25" s="54"/>
    </row>
  </sheetData>
  <autoFilter ref="A5:H23"/>
  <conditionalFormatting sqref="F5 F8:F1048576">
    <cfRule type="cellIs" dxfId="149" priority="5" operator="equal">
      <formula>"Fail"</formula>
    </cfRule>
    <cfRule type="cellIs" dxfId="148" priority="6" operator="equal">
      <formula>"Pass"</formula>
    </cfRule>
  </conditionalFormatting>
  <conditionalFormatting sqref="F6:F7">
    <cfRule type="cellIs" dxfId="147" priority="3" operator="equal">
      <formula>"Fail"</formula>
    </cfRule>
    <cfRule type="cellIs" dxfId="146" priority="4" operator="equal">
      <formula>"Pass"</formula>
    </cfRule>
  </conditionalFormatting>
  <conditionalFormatting sqref="E1:E3">
    <cfRule type="cellIs" dxfId="145" priority="1" operator="equal">
      <formula>"Fail"</formula>
    </cfRule>
    <cfRule type="cellIs" dxfId="144" priority="2" operator="equal">
      <formula>"Pass"</formula>
    </cfRule>
  </conditionalFormatting>
  <dataValidations count="4">
    <dataValidation type="list" allowBlank="1" showInputMessage="1" showErrorMessage="1" sqref="D1">
      <formula1>Emp_Name</formula1>
    </dataValidation>
    <dataValidation type="list" allowBlank="1" showInputMessage="1" showErrorMessage="1" sqref="E6:E25">
      <formula1>Control_List</formula1>
    </dataValidation>
    <dataValidation type="list" allowBlank="1" showInputMessage="1" showErrorMessage="1" sqref="F6:F25">
      <formula1>Result</formula1>
    </dataValidation>
    <dataValidation type="list" allowBlank="1" showInputMessage="1" showErrorMessage="1" sqref="D2">
      <formula1>Workmatec_Instance</formula1>
    </dataValidation>
  </dataValidations>
  <hyperlinks>
    <hyperlink ref="B1" location="Sheet_Dashboard" display="Dashboard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71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.75" x14ac:dyDescent="0.25"/>
  <cols>
    <col min="1" max="1" width="7.140625" style="2" bestFit="1" customWidth="1"/>
    <col min="2" max="2" width="15.85546875" style="1" bestFit="1" customWidth="1"/>
    <col min="3" max="3" width="11.5703125" style="9" bestFit="1" customWidth="1"/>
    <col min="4" max="4" width="17" style="1" bestFit="1" customWidth="1"/>
    <col min="5" max="5" width="11.5703125" style="9" bestFit="1" customWidth="1"/>
    <col min="6" max="6" width="18.42578125" style="1" bestFit="1" customWidth="1"/>
    <col min="7" max="7" width="11.5703125" style="9" bestFit="1" customWidth="1"/>
    <col min="8" max="8" width="25.28515625" style="1" bestFit="1" customWidth="1"/>
    <col min="9" max="9" width="11.5703125" style="9" bestFit="1" customWidth="1"/>
    <col min="10" max="10" width="22" style="1" bestFit="1" customWidth="1"/>
    <col min="11" max="11" width="11.5703125" style="9" bestFit="1" customWidth="1"/>
    <col min="12" max="12" width="16.28515625" style="1" bestFit="1" customWidth="1"/>
    <col min="13" max="13" width="26.7109375" style="1" bestFit="1" customWidth="1"/>
    <col min="14" max="14" width="16.28515625" style="1" bestFit="1" customWidth="1"/>
    <col min="15" max="15" width="26.7109375" style="1" bestFit="1" customWidth="1"/>
    <col min="16" max="16" width="11.28515625" style="1" bestFit="1" customWidth="1"/>
    <col min="17" max="17" width="12.5703125" style="1" bestFit="1" customWidth="1"/>
    <col min="18" max="18" width="11.28515625" style="1" bestFit="1" customWidth="1"/>
    <col min="19" max="19" width="12.5703125" style="1" bestFit="1" customWidth="1"/>
    <col min="20" max="16384" width="9.140625" style="1"/>
  </cols>
  <sheetData>
    <row r="1" spans="1:19" ht="19.5" thickBot="1" x14ac:dyDescent="0.35">
      <c r="A1" s="23" t="s">
        <v>8</v>
      </c>
      <c r="B1" s="24" t="s">
        <v>2</v>
      </c>
      <c r="C1" s="25" t="s">
        <v>43</v>
      </c>
      <c r="D1" s="24" t="s">
        <v>3</v>
      </c>
      <c r="E1" s="25" t="s">
        <v>43</v>
      </c>
      <c r="F1" s="24" t="s">
        <v>4</v>
      </c>
      <c r="G1" s="25" t="s">
        <v>43</v>
      </c>
      <c r="H1" s="24" t="s">
        <v>10</v>
      </c>
      <c r="I1" s="25" t="s">
        <v>43</v>
      </c>
      <c r="J1" s="24" t="s">
        <v>46</v>
      </c>
      <c r="K1" s="26" t="s">
        <v>43</v>
      </c>
      <c r="L1" s="27" t="s">
        <v>53</v>
      </c>
      <c r="M1" s="28" t="s">
        <v>54</v>
      </c>
      <c r="N1" s="29" t="s">
        <v>53</v>
      </c>
      <c r="O1" s="30" t="s">
        <v>54</v>
      </c>
      <c r="P1" s="27" t="s">
        <v>53</v>
      </c>
      <c r="Q1" s="28" t="s">
        <v>54</v>
      </c>
      <c r="R1" s="29" t="s">
        <v>53</v>
      </c>
      <c r="S1" s="30" t="s">
        <v>54</v>
      </c>
    </row>
    <row r="2" spans="1:19" ht="18.75" x14ac:dyDescent="0.3">
      <c r="A2" s="31">
        <v>1</v>
      </c>
      <c r="B2" s="22" t="s">
        <v>96</v>
      </c>
      <c r="C2" s="32">
        <v>1</v>
      </c>
      <c r="D2" s="33"/>
      <c r="E2" s="32"/>
      <c r="F2" s="33"/>
      <c r="G2" s="32"/>
      <c r="H2" s="33"/>
      <c r="I2" s="32"/>
      <c r="J2" s="33"/>
      <c r="K2" s="32"/>
      <c r="L2" s="34"/>
      <c r="M2" s="35"/>
      <c r="N2" s="34"/>
      <c r="O2" s="35"/>
      <c r="P2" s="34"/>
      <c r="Q2" s="35"/>
      <c r="R2" s="34"/>
      <c r="S2" s="35"/>
    </row>
    <row r="3" spans="1:19" ht="18.75" x14ac:dyDescent="0.3">
      <c r="A3" s="31">
        <f>+A2+1</f>
        <v>2</v>
      </c>
      <c r="B3" s="33" t="s">
        <v>0</v>
      </c>
      <c r="C3" s="32">
        <f>+C2+1</f>
        <v>2</v>
      </c>
      <c r="D3" s="33"/>
      <c r="E3" s="32"/>
      <c r="F3" s="33"/>
      <c r="G3" s="32"/>
      <c r="H3" s="33"/>
      <c r="I3" s="32"/>
      <c r="J3" s="33"/>
      <c r="K3" s="32"/>
      <c r="L3" s="34"/>
      <c r="M3" s="35"/>
      <c r="N3" s="34"/>
      <c r="O3" s="35"/>
      <c r="P3" s="34"/>
      <c r="Q3" s="35"/>
      <c r="R3" s="34"/>
      <c r="S3" s="35"/>
    </row>
    <row r="4" spans="1:19" ht="18.75" x14ac:dyDescent="0.3">
      <c r="A4" s="14">
        <f>+A3+1</f>
        <v>3</v>
      </c>
      <c r="B4" s="22"/>
      <c r="C4" s="36"/>
      <c r="D4" s="22" t="s">
        <v>45</v>
      </c>
      <c r="E4" s="37" t="str">
        <f>CONCATENATE($C$3,TEXT('Ref Num'!A3,"#.#"))</f>
        <v>2.1</v>
      </c>
      <c r="F4" s="22"/>
      <c r="G4" s="37"/>
      <c r="H4" s="22"/>
      <c r="I4" s="37"/>
      <c r="J4" s="22"/>
      <c r="K4" s="37"/>
      <c r="L4" s="34"/>
      <c r="M4" s="35"/>
      <c r="N4" s="34"/>
      <c r="O4" s="35"/>
      <c r="P4" s="34"/>
      <c r="Q4" s="35"/>
      <c r="R4" s="34"/>
      <c r="S4" s="35"/>
    </row>
    <row r="5" spans="1:19" ht="18.75" x14ac:dyDescent="0.3">
      <c r="A5" s="14">
        <f t="shared" ref="A5:A71" si="0">+A4+1</f>
        <v>4</v>
      </c>
      <c r="B5" s="22"/>
      <c r="C5" s="36"/>
      <c r="D5" s="22" t="s">
        <v>1</v>
      </c>
      <c r="E5" s="37" t="str">
        <f>CONCATENATE($C$3,TEXT('Ref Num'!A4,"#.#"))</f>
        <v>2.2</v>
      </c>
      <c r="F5" s="22"/>
      <c r="G5" s="37"/>
      <c r="H5" s="22"/>
      <c r="I5" s="37"/>
      <c r="J5" s="22"/>
      <c r="K5" s="37"/>
      <c r="L5" s="34"/>
      <c r="M5" s="35"/>
      <c r="N5" s="34"/>
      <c r="O5" s="35"/>
      <c r="P5" s="34"/>
      <c r="Q5" s="35"/>
      <c r="R5" s="34"/>
      <c r="S5" s="35"/>
    </row>
    <row r="6" spans="1:19" ht="18.75" x14ac:dyDescent="0.3">
      <c r="A6" s="14">
        <f t="shared" si="0"/>
        <v>5</v>
      </c>
      <c r="B6" s="22" t="s">
        <v>5</v>
      </c>
      <c r="C6" s="37">
        <f>+C3+1</f>
        <v>3</v>
      </c>
      <c r="D6" s="22"/>
      <c r="E6" s="37"/>
      <c r="F6" s="22"/>
      <c r="G6" s="37"/>
      <c r="H6" s="22"/>
      <c r="I6" s="37"/>
      <c r="J6" s="22"/>
      <c r="K6" s="37"/>
      <c r="L6" s="34"/>
      <c r="M6" s="35"/>
      <c r="N6" s="34"/>
      <c r="O6" s="35"/>
      <c r="P6" s="34"/>
      <c r="Q6" s="35"/>
      <c r="R6" s="34"/>
      <c r="S6" s="35"/>
    </row>
    <row r="7" spans="1:19" ht="18.75" x14ac:dyDescent="0.3">
      <c r="A7" s="14">
        <f t="shared" si="0"/>
        <v>6</v>
      </c>
      <c r="B7" s="22"/>
      <c r="C7" s="36"/>
      <c r="D7" s="22" t="s">
        <v>6</v>
      </c>
      <c r="E7" s="37" t="str">
        <f>CONCATENATE($C$6,TEXT('Ref Num'!A3,"#.#"))</f>
        <v>3.1</v>
      </c>
      <c r="F7" s="22"/>
      <c r="G7" s="37"/>
      <c r="H7" s="22"/>
      <c r="I7" s="37"/>
      <c r="J7" s="22"/>
      <c r="K7" s="37"/>
      <c r="L7" s="34"/>
      <c r="M7" s="35"/>
      <c r="N7" s="34"/>
      <c r="O7" s="35"/>
      <c r="P7" s="34"/>
      <c r="Q7" s="35"/>
      <c r="R7" s="34"/>
      <c r="S7" s="35"/>
    </row>
    <row r="8" spans="1:19" ht="18.75" x14ac:dyDescent="0.3">
      <c r="A8" s="14">
        <f t="shared" si="0"/>
        <v>7</v>
      </c>
      <c r="B8" s="22"/>
      <c r="C8" s="36"/>
      <c r="D8" s="22"/>
      <c r="E8" s="38"/>
      <c r="F8" s="22" t="s">
        <v>14</v>
      </c>
      <c r="G8" s="37" t="str">
        <f>CONCATENATE($E$7,TEXT('Ref Num'!A3,"#.#"))</f>
        <v>3.1.1</v>
      </c>
      <c r="H8" s="22"/>
      <c r="I8" s="36"/>
      <c r="J8" s="22"/>
      <c r="K8" s="36"/>
      <c r="L8" s="34"/>
      <c r="M8" s="35"/>
      <c r="N8" s="34"/>
      <c r="O8" s="35"/>
      <c r="P8" s="34"/>
      <c r="Q8" s="35"/>
      <c r="R8" s="34"/>
      <c r="S8" s="35"/>
    </row>
    <row r="9" spans="1:19" ht="18.75" x14ac:dyDescent="0.3">
      <c r="A9" s="14">
        <f t="shared" si="0"/>
        <v>8</v>
      </c>
      <c r="B9" s="22"/>
      <c r="C9" s="37"/>
      <c r="D9" s="22"/>
      <c r="E9" s="37"/>
      <c r="F9" s="22" t="s">
        <v>7</v>
      </c>
      <c r="G9" s="37" t="str">
        <f>CONCATENATE($E$7,TEXT('Ref Num'!A4,"#.#"))</f>
        <v>3.1.2</v>
      </c>
      <c r="H9" s="22"/>
      <c r="I9" s="37"/>
      <c r="J9" s="22"/>
      <c r="K9" s="37"/>
      <c r="L9" s="34"/>
      <c r="M9" s="35"/>
      <c r="N9" s="34"/>
      <c r="O9" s="35"/>
      <c r="P9" s="34"/>
      <c r="Q9" s="35"/>
      <c r="R9" s="34"/>
      <c r="S9" s="35"/>
    </row>
    <row r="10" spans="1:19" ht="18.75" x14ac:dyDescent="0.3">
      <c r="A10" s="14">
        <f t="shared" si="0"/>
        <v>9</v>
      </c>
      <c r="B10" s="22"/>
      <c r="C10" s="37"/>
      <c r="D10" s="22"/>
      <c r="E10" s="37"/>
      <c r="F10" s="22" t="s">
        <v>9</v>
      </c>
      <c r="G10" s="37" t="str">
        <f>CONCATENATE($E$7,TEXT('Ref Num'!A5,"#.#"))</f>
        <v>3.1.3</v>
      </c>
      <c r="H10" s="22"/>
      <c r="I10" s="37"/>
      <c r="J10" s="22"/>
      <c r="K10" s="37"/>
      <c r="L10" s="34"/>
      <c r="M10" s="35"/>
      <c r="N10" s="34"/>
      <c r="O10" s="35"/>
      <c r="P10" s="34"/>
      <c r="Q10" s="35"/>
      <c r="R10" s="34"/>
      <c r="S10" s="35"/>
    </row>
    <row r="11" spans="1:19" ht="18.75" x14ac:dyDescent="0.3">
      <c r="A11" s="14">
        <f t="shared" si="0"/>
        <v>10</v>
      </c>
      <c r="B11" s="22"/>
      <c r="C11" s="37"/>
      <c r="D11" s="22"/>
      <c r="E11" s="37"/>
      <c r="F11" s="22"/>
      <c r="G11" s="37"/>
      <c r="H11" s="22" t="s">
        <v>11</v>
      </c>
      <c r="I11" s="37" t="str">
        <f>CONCATENATE($G$10,TEXT('Ref Num'!A3,"#.#"))</f>
        <v>3.1.3.1</v>
      </c>
      <c r="J11" s="22"/>
      <c r="K11" s="37"/>
      <c r="L11" s="34"/>
      <c r="M11" s="35"/>
      <c r="N11" s="34"/>
      <c r="O11" s="35"/>
      <c r="P11" s="34"/>
      <c r="Q11" s="35"/>
      <c r="R11" s="34"/>
      <c r="S11" s="35"/>
    </row>
    <row r="12" spans="1:19" ht="18.75" x14ac:dyDescent="0.3">
      <c r="A12" s="14">
        <f t="shared" si="0"/>
        <v>11</v>
      </c>
      <c r="B12" s="22"/>
      <c r="C12" s="37"/>
      <c r="D12" s="22"/>
      <c r="E12" s="37"/>
      <c r="F12" s="22"/>
      <c r="G12" s="37"/>
      <c r="H12" s="22"/>
      <c r="I12" s="38"/>
      <c r="J12" s="22" t="s">
        <v>47</v>
      </c>
      <c r="K12" s="37" t="str">
        <f>CONCATENATE($I$11,TEXT('Ref Num'!A3,"#.#"))</f>
        <v>3.1.3.1.1</v>
      </c>
      <c r="L12" s="34"/>
      <c r="M12" s="35"/>
      <c r="N12" s="34"/>
      <c r="O12" s="35"/>
      <c r="P12" s="34"/>
      <c r="Q12" s="35"/>
      <c r="R12" s="34"/>
      <c r="S12" s="35"/>
    </row>
    <row r="13" spans="1:19" ht="18.75" x14ac:dyDescent="0.3">
      <c r="A13" s="14">
        <f t="shared" si="0"/>
        <v>12</v>
      </c>
      <c r="B13" s="14"/>
      <c r="C13" s="37"/>
      <c r="D13" s="22"/>
      <c r="E13" s="37"/>
      <c r="F13" s="22"/>
      <c r="G13" s="37"/>
      <c r="H13" s="22" t="s">
        <v>56</v>
      </c>
      <c r="I13" s="37" t="str">
        <f>CONCATENATE($G$10,TEXT('Ref Num'!A4,"#.#"))</f>
        <v>3.1.3.2</v>
      </c>
      <c r="J13" s="22"/>
      <c r="K13" s="37"/>
      <c r="L13" s="34"/>
      <c r="M13" s="35"/>
      <c r="N13" s="34"/>
      <c r="O13" s="35"/>
      <c r="P13" s="34"/>
      <c r="Q13" s="35"/>
      <c r="R13" s="34"/>
      <c r="S13" s="35"/>
    </row>
    <row r="14" spans="1:19" ht="18.75" x14ac:dyDescent="0.3">
      <c r="A14" s="14">
        <f t="shared" si="0"/>
        <v>13</v>
      </c>
      <c r="B14" s="14"/>
      <c r="C14" s="37"/>
      <c r="D14" s="22"/>
      <c r="E14" s="37"/>
      <c r="F14" s="22"/>
      <c r="G14" s="37"/>
      <c r="H14" s="22"/>
      <c r="I14" s="38"/>
      <c r="J14" s="22" t="s">
        <v>57</v>
      </c>
      <c r="K14" s="37" t="str">
        <f>CONCATENATE($I$13,TEXT('Ref Num'!A3,"#.#"))</f>
        <v>3.1.3.2.1</v>
      </c>
      <c r="L14" s="34"/>
      <c r="M14" s="35"/>
      <c r="N14" s="34"/>
      <c r="O14" s="35"/>
      <c r="P14" s="34"/>
      <c r="Q14" s="35"/>
      <c r="R14" s="34"/>
      <c r="S14" s="35"/>
    </row>
    <row r="15" spans="1:19" ht="18.75" x14ac:dyDescent="0.3">
      <c r="A15" s="14">
        <f t="shared" si="0"/>
        <v>14</v>
      </c>
      <c r="B15" s="14"/>
      <c r="C15" s="37"/>
      <c r="D15" s="22"/>
      <c r="E15" s="37"/>
      <c r="F15" s="22"/>
      <c r="G15" s="37"/>
      <c r="H15" s="22"/>
      <c r="I15" s="37"/>
      <c r="J15" s="22" t="s">
        <v>58</v>
      </c>
      <c r="K15" s="37" t="str">
        <f>CONCATENATE($I$13,TEXT('Ref Num'!A4,"#.#"))</f>
        <v>3.1.3.2.2</v>
      </c>
      <c r="L15" s="34"/>
      <c r="M15" s="35"/>
      <c r="N15" s="34"/>
      <c r="O15" s="35"/>
      <c r="P15" s="34"/>
      <c r="Q15" s="35"/>
      <c r="R15" s="34"/>
      <c r="S15" s="35"/>
    </row>
    <row r="16" spans="1:19" ht="18.75" x14ac:dyDescent="0.3">
      <c r="A16" s="14">
        <f t="shared" si="0"/>
        <v>15</v>
      </c>
      <c r="B16" s="14"/>
      <c r="C16" s="37"/>
      <c r="D16" s="22"/>
      <c r="E16" s="37"/>
      <c r="F16" s="22"/>
      <c r="G16" s="37"/>
      <c r="H16" s="22" t="s">
        <v>12</v>
      </c>
      <c r="I16" s="37" t="str">
        <f>CONCATENATE($G$10,TEXT('Ref Num'!A5,"#.#"))</f>
        <v>3.1.3.3</v>
      </c>
      <c r="J16" s="22"/>
      <c r="K16" s="37"/>
      <c r="L16" s="34"/>
      <c r="M16" s="35"/>
      <c r="N16" s="34"/>
      <c r="O16" s="35"/>
      <c r="P16" s="34"/>
      <c r="Q16" s="35"/>
      <c r="R16" s="34"/>
      <c r="S16" s="35"/>
    </row>
    <row r="17" spans="1:19" ht="18.75" x14ac:dyDescent="0.3">
      <c r="A17" s="14">
        <f t="shared" si="0"/>
        <v>16</v>
      </c>
      <c r="B17" s="14"/>
      <c r="C17" s="37"/>
      <c r="D17" s="22"/>
      <c r="E17" s="37"/>
      <c r="F17" s="22"/>
      <c r="G17" s="37"/>
      <c r="H17" s="22" t="s">
        <v>13</v>
      </c>
      <c r="I17" s="37" t="str">
        <f>CONCATENATE($G$10,TEXT('Ref Num'!A6,"#.#"))</f>
        <v>3.1.3.4</v>
      </c>
      <c r="J17" s="22"/>
      <c r="K17" s="37"/>
      <c r="L17" s="34"/>
      <c r="M17" s="35"/>
      <c r="N17" s="34"/>
      <c r="O17" s="35"/>
      <c r="P17" s="34"/>
      <c r="Q17" s="35"/>
      <c r="R17" s="34"/>
      <c r="S17" s="35"/>
    </row>
    <row r="18" spans="1:19" ht="18.75" x14ac:dyDescent="0.3">
      <c r="A18" s="14">
        <f t="shared" si="0"/>
        <v>17</v>
      </c>
      <c r="B18" s="14"/>
      <c r="C18" s="37"/>
      <c r="D18" s="22"/>
      <c r="E18" s="37"/>
      <c r="F18" s="22"/>
      <c r="G18" s="37"/>
      <c r="H18" s="22"/>
      <c r="I18" s="37"/>
      <c r="J18" s="22" t="s">
        <v>48</v>
      </c>
      <c r="K18" s="37" t="str">
        <f>CONCATENATE($I$17,TEXT('Ref Num'!A3,"#.#"))</f>
        <v>3.1.3.4.1</v>
      </c>
      <c r="L18" s="34"/>
      <c r="M18" s="35"/>
      <c r="N18" s="34"/>
      <c r="O18" s="35"/>
      <c r="P18" s="34"/>
      <c r="Q18" s="35"/>
      <c r="R18" s="34"/>
      <c r="S18" s="35"/>
    </row>
    <row r="19" spans="1:19" ht="18.75" x14ac:dyDescent="0.3">
      <c r="A19" s="14">
        <f t="shared" si="0"/>
        <v>18</v>
      </c>
      <c r="B19" s="14"/>
      <c r="C19" s="37"/>
      <c r="D19" s="22"/>
      <c r="E19" s="37"/>
      <c r="F19" s="22"/>
      <c r="G19" s="37"/>
      <c r="H19" s="22"/>
      <c r="I19" s="37"/>
      <c r="J19" s="22" t="s">
        <v>49</v>
      </c>
      <c r="K19" s="37" t="str">
        <f>CONCATENATE($I$17,TEXT('Ref Num'!A4,"#.#"))</f>
        <v>3.1.3.4.2</v>
      </c>
      <c r="L19" s="34"/>
      <c r="M19" s="35"/>
      <c r="N19" s="34"/>
      <c r="O19" s="35"/>
      <c r="P19" s="34"/>
      <c r="Q19" s="35"/>
      <c r="R19" s="34"/>
      <c r="S19" s="35"/>
    </row>
    <row r="20" spans="1:19" ht="18.75" x14ac:dyDescent="0.3">
      <c r="A20" s="14">
        <f t="shared" si="0"/>
        <v>19</v>
      </c>
      <c r="B20" s="14"/>
      <c r="C20" s="37"/>
      <c r="D20" s="22"/>
      <c r="E20" s="37"/>
      <c r="F20" s="22"/>
      <c r="G20" s="37"/>
      <c r="H20" s="22"/>
      <c r="I20" s="37"/>
      <c r="J20" s="22" t="s">
        <v>50</v>
      </c>
      <c r="K20" s="37" t="str">
        <f>CONCATENATE($I$17,TEXT('Ref Num'!A5,"#.#"))</f>
        <v>3.1.3.4.3</v>
      </c>
      <c r="L20" s="34"/>
      <c r="M20" s="35"/>
      <c r="N20" s="34"/>
      <c r="O20" s="35"/>
      <c r="P20" s="34"/>
      <c r="Q20" s="35"/>
      <c r="R20" s="34"/>
      <c r="S20" s="35"/>
    </row>
    <row r="21" spans="1:19" ht="18.75" x14ac:dyDescent="0.3">
      <c r="A21" s="14">
        <f t="shared" si="0"/>
        <v>20</v>
      </c>
      <c r="B21" s="14"/>
      <c r="C21" s="37"/>
      <c r="D21" s="22"/>
      <c r="E21" s="37"/>
      <c r="F21" s="22"/>
      <c r="G21" s="37"/>
      <c r="H21" s="22"/>
      <c r="I21" s="37"/>
      <c r="J21" s="22" t="s">
        <v>65</v>
      </c>
      <c r="K21" s="37" t="str">
        <f>CONCATENATE($I$17,TEXT('Ref Num'!A6,"#.#"))</f>
        <v>3.1.3.4.4</v>
      </c>
      <c r="L21" s="34"/>
      <c r="M21" s="35"/>
      <c r="N21" s="34"/>
      <c r="O21" s="35"/>
      <c r="P21" s="34"/>
      <c r="Q21" s="35"/>
      <c r="R21" s="34"/>
      <c r="S21" s="35"/>
    </row>
    <row r="22" spans="1:19" ht="18.75" x14ac:dyDescent="0.3">
      <c r="A22" s="14">
        <f t="shared" si="0"/>
        <v>21</v>
      </c>
      <c r="B22" s="14"/>
      <c r="C22" s="37"/>
      <c r="D22" s="22" t="s">
        <v>15</v>
      </c>
      <c r="E22" s="37" t="str">
        <f>CONCATENATE($C$6,TEXT('Ref Num'!A4,"#.#"))</f>
        <v>3.2</v>
      </c>
      <c r="F22" s="22"/>
      <c r="G22" s="37"/>
      <c r="H22" s="22"/>
      <c r="I22" s="37"/>
      <c r="J22" s="22"/>
      <c r="K22" s="37"/>
      <c r="L22" s="34"/>
      <c r="M22" s="35"/>
      <c r="N22" s="34"/>
      <c r="O22" s="35"/>
      <c r="P22" s="34"/>
      <c r="Q22" s="35"/>
      <c r="R22" s="34"/>
      <c r="S22" s="35"/>
    </row>
    <row r="23" spans="1:19" ht="18.75" x14ac:dyDescent="0.3">
      <c r="A23" s="14">
        <f t="shared" si="0"/>
        <v>22</v>
      </c>
      <c r="B23" s="14"/>
      <c r="C23" s="37"/>
      <c r="D23" s="22"/>
      <c r="E23" s="38"/>
      <c r="F23" s="22" t="s">
        <v>16</v>
      </c>
      <c r="G23" s="37" t="str">
        <f>CONCATENATE($E$22,TEXT('Ref Num'!A3,"#.#"))</f>
        <v>3.2.1</v>
      </c>
      <c r="H23" s="22"/>
      <c r="I23" s="37"/>
      <c r="J23" s="22"/>
      <c r="K23" s="37"/>
      <c r="L23" s="34"/>
      <c r="M23" s="35"/>
      <c r="N23" s="34"/>
      <c r="O23" s="35"/>
      <c r="P23" s="34"/>
      <c r="Q23" s="35"/>
      <c r="R23" s="34"/>
      <c r="S23" s="35"/>
    </row>
    <row r="24" spans="1:19" ht="18.75" x14ac:dyDescent="0.3">
      <c r="A24" s="14">
        <f t="shared" si="0"/>
        <v>23</v>
      </c>
      <c r="B24" s="22"/>
      <c r="C24" s="37"/>
      <c r="D24" s="22"/>
      <c r="E24" s="37"/>
      <c r="F24" s="22" t="s">
        <v>17</v>
      </c>
      <c r="G24" s="37" t="str">
        <f>CONCATENATE($E$22,TEXT('Ref Num'!A4,"#.#"))</f>
        <v>3.2.2</v>
      </c>
      <c r="H24" s="22"/>
      <c r="I24" s="37"/>
      <c r="J24" s="22"/>
      <c r="K24" s="37"/>
      <c r="L24" s="34"/>
      <c r="M24" s="35"/>
      <c r="N24" s="34"/>
      <c r="O24" s="35"/>
      <c r="P24" s="34"/>
      <c r="Q24" s="35"/>
      <c r="R24" s="34"/>
      <c r="S24" s="35"/>
    </row>
    <row r="25" spans="1:19" ht="18.75" x14ac:dyDescent="0.3">
      <c r="A25" s="14">
        <f t="shared" si="0"/>
        <v>24</v>
      </c>
      <c r="B25" s="22"/>
      <c r="C25" s="37"/>
      <c r="D25" s="22"/>
      <c r="E25" s="37"/>
      <c r="F25" s="22" t="s">
        <v>18</v>
      </c>
      <c r="G25" s="37" t="str">
        <f>CONCATENATE($E$22,TEXT('Ref Num'!A5,"#.#"))</f>
        <v>3.2.3</v>
      </c>
      <c r="H25" s="22"/>
      <c r="I25" s="37"/>
      <c r="J25" s="22"/>
      <c r="K25" s="37"/>
      <c r="L25" s="34"/>
      <c r="M25" s="35"/>
      <c r="N25" s="34"/>
      <c r="O25" s="35"/>
      <c r="P25" s="34"/>
      <c r="Q25" s="35"/>
      <c r="R25" s="34"/>
      <c r="S25" s="35"/>
    </row>
    <row r="26" spans="1:19" ht="18.75" x14ac:dyDescent="0.3">
      <c r="A26" s="14">
        <f t="shared" si="0"/>
        <v>25</v>
      </c>
      <c r="B26" s="22"/>
      <c r="C26" s="37"/>
      <c r="D26" s="22"/>
      <c r="E26" s="37"/>
      <c r="F26" s="22" t="s">
        <v>19</v>
      </c>
      <c r="G26" s="37" t="str">
        <f>CONCATENATE($E$22,TEXT('Ref Num'!A6,"#.#"))</f>
        <v>3.2.4</v>
      </c>
      <c r="H26" s="22"/>
      <c r="I26" s="37"/>
      <c r="J26" s="22"/>
      <c r="K26" s="37"/>
      <c r="L26" s="34"/>
      <c r="M26" s="35"/>
      <c r="N26" s="34"/>
      <c r="O26" s="35"/>
      <c r="P26" s="34"/>
      <c r="Q26" s="35"/>
      <c r="R26" s="34"/>
      <c r="S26" s="35"/>
    </row>
    <row r="27" spans="1:19" ht="18.75" x14ac:dyDescent="0.3">
      <c r="A27" s="14">
        <f t="shared" si="0"/>
        <v>26</v>
      </c>
      <c r="B27" s="22"/>
      <c r="C27" s="37"/>
      <c r="D27" s="22" t="s">
        <v>20</v>
      </c>
      <c r="E27" s="37" t="str">
        <f>CONCATENATE($C$6,TEXT('Ref Num'!A5,"#.#"))</f>
        <v>3.3</v>
      </c>
      <c r="F27" s="22"/>
      <c r="G27" s="37"/>
      <c r="H27" s="22"/>
      <c r="I27" s="37"/>
      <c r="J27" s="22"/>
      <c r="K27" s="37"/>
      <c r="L27" s="34"/>
      <c r="M27" s="35"/>
      <c r="N27" s="34"/>
      <c r="O27" s="35"/>
      <c r="P27" s="34"/>
      <c r="Q27" s="35"/>
      <c r="R27" s="34"/>
      <c r="S27" s="35"/>
    </row>
    <row r="28" spans="1:19" ht="18.75" x14ac:dyDescent="0.3">
      <c r="A28" s="14">
        <f t="shared" si="0"/>
        <v>27</v>
      </c>
      <c r="B28" s="22"/>
      <c r="C28" s="37"/>
      <c r="D28" s="22"/>
      <c r="E28" s="38"/>
      <c r="F28" s="22" t="s">
        <v>16</v>
      </c>
      <c r="G28" s="37" t="str">
        <f>CONCATENATE($E$27,TEXT('Ref Num'!A3,"#.#"))</f>
        <v>3.3.1</v>
      </c>
      <c r="H28" s="22"/>
      <c r="I28" s="37"/>
      <c r="J28" s="22"/>
      <c r="K28" s="37"/>
      <c r="L28" s="34"/>
      <c r="M28" s="35"/>
      <c r="N28" s="34"/>
      <c r="O28" s="35"/>
      <c r="P28" s="34"/>
      <c r="Q28" s="35"/>
      <c r="R28" s="34"/>
      <c r="S28" s="35"/>
    </row>
    <row r="29" spans="1:19" ht="18.75" x14ac:dyDescent="0.3">
      <c r="A29" s="14">
        <f t="shared" si="0"/>
        <v>28</v>
      </c>
      <c r="B29" s="22"/>
      <c r="C29" s="37"/>
      <c r="D29" s="22"/>
      <c r="E29" s="37"/>
      <c r="F29" s="22" t="s">
        <v>17</v>
      </c>
      <c r="G29" s="37" t="str">
        <f>CONCATENATE($E$27,TEXT('Ref Num'!A4,"#.#"))</f>
        <v>3.3.2</v>
      </c>
      <c r="H29" s="22"/>
      <c r="I29" s="37"/>
      <c r="J29" s="22"/>
      <c r="K29" s="37"/>
      <c r="L29" s="34"/>
      <c r="M29" s="35"/>
      <c r="N29" s="34"/>
      <c r="O29" s="35"/>
      <c r="P29" s="34"/>
      <c r="Q29" s="35"/>
      <c r="R29" s="34"/>
      <c r="S29" s="35"/>
    </row>
    <row r="30" spans="1:19" ht="18.75" x14ac:dyDescent="0.3">
      <c r="A30" s="14">
        <f t="shared" si="0"/>
        <v>29</v>
      </c>
      <c r="B30" s="22"/>
      <c r="C30" s="37"/>
      <c r="D30" s="22"/>
      <c r="E30" s="37"/>
      <c r="F30" s="22" t="s">
        <v>18</v>
      </c>
      <c r="G30" s="37" t="str">
        <f>CONCATENATE($E$27,TEXT('Ref Num'!A5,"#.#"))</f>
        <v>3.3.3</v>
      </c>
      <c r="H30" s="22"/>
      <c r="I30" s="37"/>
      <c r="J30" s="22"/>
      <c r="K30" s="37"/>
      <c r="L30" s="34"/>
      <c r="M30" s="35"/>
      <c r="N30" s="34"/>
      <c r="O30" s="35"/>
      <c r="P30" s="34"/>
      <c r="Q30" s="35"/>
      <c r="R30" s="34"/>
      <c r="S30" s="35"/>
    </row>
    <row r="31" spans="1:19" ht="18.75" x14ac:dyDescent="0.3">
      <c r="A31" s="14">
        <f t="shared" si="0"/>
        <v>30</v>
      </c>
      <c r="B31" s="22"/>
      <c r="C31" s="37"/>
      <c r="D31" s="22"/>
      <c r="E31" s="37"/>
      <c r="F31" s="22" t="s">
        <v>19</v>
      </c>
      <c r="G31" s="37" t="str">
        <f>CONCATENATE($E$27,TEXT('Ref Num'!A6,"#.#"))</f>
        <v>3.3.4</v>
      </c>
      <c r="H31" s="22"/>
      <c r="I31" s="37"/>
      <c r="J31" s="22"/>
      <c r="K31" s="37"/>
      <c r="L31" s="34"/>
      <c r="M31" s="35"/>
      <c r="N31" s="34"/>
      <c r="O31" s="35"/>
      <c r="P31" s="34"/>
      <c r="Q31" s="35"/>
      <c r="R31" s="34"/>
      <c r="S31" s="35"/>
    </row>
    <row r="32" spans="1:19" ht="18.75" x14ac:dyDescent="0.3">
      <c r="A32" s="14">
        <f t="shared" si="0"/>
        <v>31</v>
      </c>
      <c r="B32" s="22"/>
      <c r="C32" s="37"/>
      <c r="D32" s="22" t="s">
        <v>59</v>
      </c>
      <c r="E32" s="37" t="str">
        <f>CONCATENATE($C$6,TEXT('Ref Num'!A6,"#.#"))</f>
        <v>3.4</v>
      </c>
      <c r="F32" s="39"/>
      <c r="G32" s="37"/>
      <c r="H32" s="22"/>
      <c r="I32" s="37"/>
      <c r="J32" s="22"/>
      <c r="K32" s="37"/>
      <c r="L32" s="34"/>
      <c r="M32" s="35"/>
      <c r="N32" s="34"/>
      <c r="O32" s="35"/>
      <c r="P32" s="34"/>
      <c r="Q32" s="35"/>
      <c r="R32" s="34"/>
      <c r="S32" s="35"/>
    </row>
    <row r="33" spans="1:19" ht="18.75" x14ac:dyDescent="0.3">
      <c r="A33" s="14">
        <f t="shared" si="0"/>
        <v>32</v>
      </c>
      <c r="B33" s="22"/>
      <c r="C33" s="37"/>
      <c r="D33" s="22"/>
      <c r="E33" s="38"/>
      <c r="F33" s="22" t="s">
        <v>5</v>
      </c>
      <c r="G33" s="37" t="str">
        <f>CONCATENATE($E$32,TEXT('Ref Num'!A3,"#.#"))</f>
        <v>3.4.1</v>
      </c>
      <c r="H33" s="39"/>
      <c r="I33" s="37"/>
      <c r="J33" s="22"/>
      <c r="K33" s="37"/>
      <c r="L33" s="34"/>
      <c r="M33" s="35"/>
      <c r="N33" s="34"/>
      <c r="O33" s="35"/>
      <c r="P33" s="34"/>
      <c r="Q33" s="35"/>
      <c r="R33" s="34"/>
      <c r="S33" s="35"/>
    </row>
    <row r="34" spans="1:19" ht="18.75" x14ac:dyDescent="0.3">
      <c r="A34" s="14">
        <f t="shared" si="0"/>
        <v>33</v>
      </c>
      <c r="B34" s="22"/>
      <c r="C34" s="37"/>
      <c r="D34" s="22"/>
      <c r="E34" s="37"/>
      <c r="F34" s="22"/>
      <c r="G34" s="38"/>
      <c r="H34" s="22" t="s">
        <v>28</v>
      </c>
      <c r="I34" s="37" t="str">
        <f>CONCATENATE($G$33,TEXT('Ref Num'!A3,"#.#"))</f>
        <v>3.4.1.1</v>
      </c>
      <c r="J34" s="22"/>
      <c r="K34" s="37"/>
      <c r="L34" s="34"/>
      <c r="M34" s="35"/>
      <c r="N34" s="34"/>
      <c r="O34" s="35"/>
      <c r="P34" s="34"/>
      <c r="Q34" s="35"/>
      <c r="R34" s="34"/>
      <c r="S34" s="35"/>
    </row>
    <row r="35" spans="1:19" ht="18.75" x14ac:dyDescent="0.3">
      <c r="A35" s="14">
        <f t="shared" si="0"/>
        <v>34</v>
      </c>
      <c r="B35" s="22"/>
      <c r="C35" s="37"/>
      <c r="D35" s="22"/>
      <c r="E35" s="37"/>
      <c r="F35" s="22"/>
      <c r="G35" s="37"/>
      <c r="H35" s="22"/>
      <c r="I35" s="40"/>
      <c r="J35" s="22" t="s">
        <v>62</v>
      </c>
      <c r="K35" s="37" t="str">
        <f>CONCATENATE($I$34,TEXT('Ref Num'!A3,"#.#"))</f>
        <v>3.4.1.1.1</v>
      </c>
      <c r="L35" s="34"/>
      <c r="M35" s="35"/>
      <c r="N35" s="34"/>
      <c r="O35" s="35"/>
      <c r="P35" s="34"/>
      <c r="Q35" s="35"/>
      <c r="R35" s="34"/>
      <c r="S35" s="35"/>
    </row>
    <row r="36" spans="1:19" ht="18.75" x14ac:dyDescent="0.3">
      <c r="A36" s="14">
        <f t="shared" si="0"/>
        <v>35</v>
      </c>
      <c r="B36" s="22"/>
      <c r="C36" s="37"/>
      <c r="D36" s="22"/>
      <c r="E36" s="37"/>
      <c r="F36" s="22"/>
      <c r="G36" s="37"/>
      <c r="H36" s="22" t="s">
        <v>29</v>
      </c>
      <c r="I36" s="37" t="str">
        <f>CONCATENATE($G$33,TEXT('Ref Num'!A4,"#.#"))</f>
        <v>3.4.1.2</v>
      </c>
      <c r="J36" s="22"/>
      <c r="K36" s="37"/>
      <c r="L36" s="34"/>
      <c r="M36" s="35"/>
      <c r="N36" s="34"/>
      <c r="O36" s="35"/>
      <c r="P36" s="34"/>
      <c r="Q36" s="35"/>
      <c r="R36" s="34"/>
      <c r="S36" s="35"/>
    </row>
    <row r="37" spans="1:19" ht="18.75" x14ac:dyDescent="0.3">
      <c r="A37" s="14">
        <f t="shared" si="0"/>
        <v>36</v>
      </c>
      <c r="B37" s="22"/>
      <c r="C37" s="37"/>
      <c r="D37" s="22"/>
      <c r="E37" s="37"/>
      <c r="F37" s="22" t="s">
        <v>60</v>
      </c>
      <c r="G37" s="37" t="str">
        <f>CONCATENATE($E$32,TEXT('Ref Num'!A4,"#.#"))</f>
        <v>3.4.2</v>
      </c>
      <c r="H37" s="22"/>
      <c r="I37" s="37"/>
      <c r="J37" s="22"/>
      <c r="K37" s="37"/>
      <c r="L37" s="34"/>
      <c r="M37" s="35"/>
      <c r="N37" s="34"/>
      <c r="O37" s="35"/>
      <c r="P37" s="34"/>
      <c r="Q37" s="35"/>
      <c r="R37" s="34"/>
      <c r="S37" s="35"/>
    </row>
    <row r="38" spans="1:19" ht="18.75" x14ac:dyDescent="0.3">
      <c r="A38" s="14">
        <f t="shared" si="0"/>
        <v>37</v>
      </c>
      <c r="B38" s="22"/>
      <c r="C38" s="37"/>
      <c r="D38" s="22"/>
      <c r="E38" s="37"/>
      <c r="F38" s="22"/>
      <c r="G38" s="38"/>
      <c r="H38" s="22" t="s">
        <v>63</v>
      </c>
      <c r="I38" s="37" t="str">
        <f>CONCATENATE($G$37,TEXT('Ref Num'!A3,"#.#"))</f>
        <v>3.4.2.1</v>
      </c>
      <c r="J38" s="22"/>
      <c r="K38" s="37"/>
      <c r="L38" s="34"/>
      <c r="M38" s="35"/>
      <c r="N38" s="34"/>
      <c r="O38" s="35"/>
      <c r="P38" s="34"/>
      <c r="Q38" s="35"/>
      <c r="R38" s="34"/>
      <c r="S38" s="35"/>
    </row>
    <row r="39" spans="1:19" ht="18.75" x14ac:dyDescent="0.3">
      <c r="A39" s="14">
        <f t="shared" si="0"/>
        <v>38</v>
      </c>
      <c r="B39" s="22"/>
      <c r="C39" s="37"/>
      <c r="D39" s="22"/>
      <c r="E39" s="37"/>
      <c r="F39" s="22"/>
      <c r="G39" s="37"/>
      <c r="H39" s="22" t="s">
        <v>64</v>
      </c>
      <c r="I39" s="37" t="str">
        <f>CONCATENATE($G$37,TEXT('Ref Num'!A4,"#.#"))</f>
        <v>3.4.2.2</v>
      </c>
      <c r="J39" s="22"/>
      <c r="K39" s="37"/>
      <c r="L39" s="34"/>
      <c r="M39" s="35"/>
      <c r="N39" s="34"/>
      <c r="O39" s="35"/>
      <c r="P39" s="34"/>
      <c r="Q39" s="35"/>
      <c r="R39" s="34"/>
      <c r="S39" s="35"/>
    </row>
    <row r="40" spans="1:19" ht="18.75" x14ac:dyDescent="0.3">
      <c r="A40" s="14">
        <f t="shared" si="0"/>
        <v>39</v>
      </c>
      <c r="B40" s="22"/>
      <c r="C40" s="37"/>
      <c r="D40" s="22"/>
      <c r="E40" s="37"/>
      <c r="F40" s="22" t="s">
        <v>61</v>
      </c>
      <c r="G40" s="37" t="str">
        <f>CONCATENATE($E$32,TEXT('Ref Num'!A5,"#.#"))</f>
        <v>3.4.3</v>
      </c>
      <c r="H40" s="22"/>
      <c r="I40" s="37"/>
      <c r="J40" s="22"/>
      <c r="K40" s="37"/>
      <c r="L40" s="34"/>
      <c r="M40" s="35"/>
      <c r="N40" s="34"/>
      <c r="O40" s="35"/>
      <c r="P40" s="34"/>
      <c r="Q40" s="35"/>
      <c r="R40" s="34"/>
      <c r="S40" s="35"/>
    </row>
    <row r="41" spans="1:19" ht="18.75" x14ac:dyDescent="0.3">
      <c r="A41" s="14">
        <f t="shared" si="0"/>
        <v>40</v>
      </c>
      <c r="B41" s="22"/>
      <c r="C41" s="37"/>
      <c r="D41" s="22"/>
      <c r="E41" s="37"/>
      <c r="F41" s="22"/>
      <c r="G41" s="37"/>
      <c r="H41" s="22" t="s">
        <v>63</v>
      </c>
      <c r="I41" s="37" t="str">
        <f>CONCATENATE($G$40,TEXT('Ref Num'!A3,"#.#"))</f>
        <v>3.4.3.1</v>
      </c>
      <c r="J41" s="22"/>
      <c r="K41" s="37"/>
      <c r="L41" s="34"/>
      <c r="M41" s="35"/>
      <c r="N41" s="34"/>
      <c r="O41" s="35"/>
      <c r="P41" s="34"/>
      <c r="Q41" s="35"/>
      <c r="R41" s="34"/>
      <c r="S41" s="35"/>
    </row>
    <row r="42" spans="1:19" ht="18.75" x14ac:dyDescent="0.3">
      <c r="A42" s="14">
        <f t="shared" si="0"/>
        <v>41</v>
      </c>
      <c r="B42" s="22"/>
      <c r="C42" s="37"/>
      <c r="D42" s="22" t="s">
        <v>21</v>
      </c>
      <c r="E42" s="37" t="str">
        <f>CONCATENATE($C$6,TEXT('Ref Num'!A7,"#.#"))</f>
        <v>3.5</v>
      </c>
      <c r="F42" s="22"/>
      <c r="G42" s="37"/>
      <c r="H42" s="22"/>
      <c r="I42" s="37"/>
      <c r="J42" s="22"/>
      <c r="K42" s="37"/>
      <c r="L42" s="34"/>
      <c r="M42" s="35"/>
      <c r="N42" s="34"/>
      <c r="O42" s="35"/>
      <c r="P42" s="34"/>
      <c r="Q42" s="35"/>
      <c r="R42" s="34"/>
      <c r="S42" s="35"/>
    </row>
    <row r="43" spans="1:19" ht="18.75" x14ac:dyDescent="0.3">
      <c r="A43" s="14">
        <f t="shared" si="0"/>
        <v>42</v>
      </c>
      <c r="B43" s="22"/>
      <c r="C43" s="37"/>
      <c r="D43" s="22"/>
      <c r="E43" s="38"/>
      <c r="F43" s="22" t="s">
        <v>42</v>
      </c>
      <c r="G43" s="37" t="str">
        <f>CONCATENATE($E$42,TEXT('Ref Num'!A3,"#.#"))</f>
        <v>3.5.1</v>
      </c>
      <c r="H43" s="22"/>
      <c r="I43" s="37"/>
      <c r="J43" s="22"/>
      <c r="K43" s="37"/>
      <c r="L43" s="34"/>
      <c r="M43" s="35"/>
      <c r="N43" s="34"/>
      <c r="O43" s="35"/>
      <c r="P43" s="34"/>
      <c r="Q43" s="35"/>
      <c r="R43" s="34"/>
      <c r="S43" s="35"/>
    </row>
    <row r="44" spans="1:19" ht="18.75" x14ac:dyDescent="0.3">
      <c r="A44" s="14">
        <f t="shared" si="0"/>
        <v>43</v>
      </c>
      <c r="B44" s="22"/>
      <c r="C44" s="37"/>
      <c r="D44" s="22"/>
      <c r="E44" s="37"/>
      <c r="F44" s="22" t="s">
        <v>19</v>
      </c>
      <c r="G44" s="37" t="str">
        <f>CONCATENATE($E$42,TEXT('Ref Num'!A4,"#.#"))</f>
        <v>3.5.2</v>
      </c>
      <c r="H44" s="22"/>
      <c r="I44" s="37"/>
      <c r="J44" s="22"/>
      <c r="K44" s="37"/>
      <c r="L44" s="34"/>
      <c r="M44" s="35"/>
      <c r="N44" s="34"/>
      <c r="O44" s="35"/>
      <c r="P44" s="34"/>
      <c r="Q44" s="35"/>
      <c r="R44" s="34"/>
      <c r="S44" s="35"/>
    </row>
    <row r="45" spans="1:19" ht="18.75" x14ac:dyDescent="0.3">
      <c r="A45" s="14">
        <f t="shared" si="0"/>
        <v>44</v>
      </c>
      <c r="B45" s="22"/>
      <c r="C45" s="37"/>
      <c r="D45" s="22" t="s">
        <v>22</v>
      </c>
      <c r="E45" s="37" t="str">
        <f>CONCATENATE($C$6,TEXT('Ref Num'!A8,"#.#"))</f>
        <v>3.6</v>
      </c>
      <c r="F45" s="22"/>
      <c r="G45" s="37"/>
      <c r="H45" s="22"/>
      <c r="I45" s="37"/>
      <c r="J45" s="22"/>
      <c r="K45" s="37"/>
      <c r="L45" s="34"/>
      <c r="M45" s="35"/>
      <c r="N45" s="34"/>
      <c r="O45" s="35"/>
      <c r="P45" s="34"/>
      <c r="Q45" s="35"/>
      <c r="R45" s="34"/>
      <c r="S45" s="35"/>
    </row>
    <row r="46" spans="1:19" ht="18.75" x14ac:dyDescent="0.3">
      <c r="A46" s="14">
        <f t="shared" si="0"/>
        <v>45</v>
      </c>
      <c r="B46" s="22"/>
      <c r="C46" s="37"/>
      <c r="D46" s="22"/>
      <c r="E46" s="38"/>
      <c r="F46" s="22" t="s">
        <v>15</v>
      </c>
      <c r="G46" s="37" t="str">
        <f>CONCATENATE($E$45,TEXT('Ref Num'!A3,"#.#"))</f>
        <v>3.6.1</v>
      </c>
      <c r="H46" s="22"/>
      <c r="I46" s="37"/>
      <c r="J46" s="22"/>
      <c r="K46" s="37"/>
      <c r="L46" s="34"/>
      <c r="M46" s="35"/>
      <c r="N46" s="34"/>
      <c r="O46" s="35"/>
      <c r="P46" s="34"/>
      <c r="Q46" s="35"/>
      <c r="R46" s="34"/>
      <c r="S46" s="35"/>
    </row>
    <row r="47" spans="1:19" ht="18.75" x14ac:dyDescent="0.3">
      <c r="A47" s="14">
        <f t="shared" si="0"/>
        <v>46</v>
      </c>
      <c r="B47" s="22"/>
      <c r="C47" s="37"/>
      <c r="D47" s="22"/>
      <c r="E47" s="37"/>
      <c r="F47" s="22" t="s">
        <v>23</v>
      </c>
      <c r="G47" s="37" t="str">
        <f>CONCATENATE($E$45,TEXT('Ref Num'!A4,"#.#"))</f>
        <v>3.6.2</v>
      </c>
      <c r="H47" s="22"/>
      <c r="I47" s="37"/>
      <c r="J47" s="22"/>
      <c r="K47" s="37"/>
      <c r="L47" s="34"/>
      <c r="M47" s="35"/>
      <c r="N47" s="34"/>
      <c r="O47" s="35"/>
      <c r="P47" s="34"/>
      <c r="Q47" s="35"/>
      <c r="R47" s="34"/>
      <c r="S47" s="35"/>
    </row>
    <row r="48" spans="1:19" ht="18.75" x14ac:dyDescent="0.3">
      <c r="A48" s="14">
        <f t="shared" si="0"/>
        <v>47</v>
      </c>
      <c r="B48" s="22"/>
      <c r="C48" s="37"/>
      <c r="D48" s="22" t="s">
        <v>24</v>
      </c>
      <c r="E48" s="37" t="str">
        <f>CONCATENATE($C$6,TEXT('Ref Num'!A9,"#.#"))</f>
        <v>3.7</v>
      </c>
      <c r="F48" s="22"/>
      <c r="G48" s="37"/>
      <c r="H48" s="22"/>
      <c r="I48" s="37"/>
      <c r="J48" s="22"/>
      <c r="K48" s="37"/>
      <c r="L48" s="34"/>
      <c r="M48" s="35"/>
      <c r="N48" s="34"/>
      <c r="O48" s="35"/>
      <c r="P48" s="34"/>
      <c r="Q48" s="35"/>
      <c r="R48" s="34"/>
      <c r="S48" s="35"/>
    </row>
    <row r="49" spans="1:19" ht="18.75" x14ac:dyDescent="0.3">
      <c r="A49" s="14">
        <f t="shared" si="0"/>
        <v>48</v>
      </c>
      <c r="B49" s="22"/>
      <c r="C49" s="37"/>
      <c r="D49" s="22" t="s">
        <v>25</v>
      </c>
      <c r="E49" s="37" t="str">
        <f>CONCATENATE($C$6,TEXT('Ref Num'!A10,"#.#"))</f>
        <v>3.8</v>
      </c>
      <c r="F49" s="22"/>
      <c r="G49" s="37"/>
      <c r="H49" s="22"/>
      <c r="I49" s="37"/>
      <c r="J49" s="22"/>
      <c r="K49" s="37"/>
      <c r="L49" s="34"/>
      <c r="M49" s="35"/>
      <c r="N49" s="34"/>
      <c r="O49" s="35"/>
      <c r="P49" s="34"/>
      <c r="Q49" s="35"/>
      <c r="R49" s="34"/>
      <c r="S49" s="35"/>
    </row>
    <row r="50" spans="1:19" ht="18.75" x14ac:dyDescent="0.3">
      <c r="A50" s="14">
        <f t="shared" si="0"/>
        <v>49</v>
      </c>
      <c r="B50" s="22"/>
      <c r="C50" s="37"/>
      <c r="D50" s="22" t="s">
        <v>26</v>
      </c>
      <c r="E50" s="37" t="str">
        <f>CONCATENATE($C$6,TEXT('Ref Num'!A11,"#.#"))</f>
        <v>3.9</v>
      </c>
      <c r="F50" s="22"/>
      <c r="G50" s="37"/>
      <c r="H50" s="22"/>
      <c r="I50" s="37"/>
      <c r="J50" s="22"/>
      <c r="K50" s="37"/>
      <c r="L50" s="34"/>
      <c r="M50" s="35"/>
      <c r="N50" s="34"/>
      <c r="O50" s="35"/>
      <c r="P50" s="34"/>
      <c r="Q50" s="35"/>
      <c r="R50" s="34"/>
      <c r="S50" s="35"/>
    </row>
    <row r="51" spans="1:19" ht="18.75" x14ac:dyDescent="0.3">
      <c r="A51" s="14">
        <f t="shared" si="0"/>
        <v>50</v>
      </c>
      <c r="B51" s="22"/>
      <c r="C51" s="37"/>
      <c r="D51" s="22"/>
      <c r="E51" s="38"/>
      <c r="F51" s="22" t="s">
        <v>15</v>
      </c>
      <c r="G51" s="37" t="str">
        <f>CONCATENATE($E$50,TEXT('Ref Num'!A3,"#.#"))</f>
        <v>3.9.1</v>
      </c>
      <c r="H51" s="22"/>
      <c r="I51" s="37"/>
      <c r="J51" s="22"/>
      <c r="K51" s="37"/>
      <c r="L51" s="34"/>
      <c r="M51" s="35"/>
      <c r="N51" s="34"/>
      <c r="O51" s="35"/>
      <c r="P51" s="34"/>
      <c r="Q51" s="35"/>
      <c r="R51" s="34"/>
      <c r="S51" s="35"/>
    </row>
    <row r="52" spans="1:19" ht="18.75" x14ac:dyDescent="0.3">
      <c r="A52" s="14">
        <f t="shared" si="0"/>
        <v>51</v>
      </c>
      <c r="B52" s="22"/>
      <c r="C52" s="37"/>
      <c r="D52" s="22"/>
      <c r="E52" s="37"/>
      <c r="F52" s="22"/>
      <c r="G52" s="38"/>
      <c r="H52" s="22" t="s">
        <v>38</v>
      </c>
      <c r="I52" s="37" t="str">
        <f>CONCATENATE($G$51,TEXT('Ref Num'!A3,"#.#"))</f>
        <v>3.9.1.1</v>
      </c>
      <c r="J52" s="22"/>
      <c r="K52" s="37"/>
      <c r="L52" s="34"/>
      <c r="M52" s="35"/>
      <c r="N52" s="34"/>
      <c r="O52" s="35"/>
      <c r="P52" s="34"/>
      <c r="Q52" s="35"/>
      <c r="R52" s="34"/>
      <c r="S52" s="35"/>
    </row>
    <row r="53" spans="1:19" ht="18.75" x14ac:dyDescent="0.3">
      <c r="A53" s="14">
        <f t="shared" si="0"/>
        <v>52</v>
      </c>
      <c r="B53" s="22"/>
      <c r="C53" s="37"/>
      <c r="D53" s="22"/>
      <c r="E53" s="37"/>
      <c r="F53" s="22" t="s">
        <v>23</v>
      </c>
      <c r="G53" s="37" t="str">
        <f>CONCATENATE($E$50,TEXT('Ref Num'!A4,"#.#"))</f>
        <v>3.9.2</v>
      </c>
      <c r="H53" s="22"/>
      <c r="I53" s="37"/>
      <c r="J53" s="22"/>
      <c r="K53" s="37"/>
      <c r="L53" s="34"/>
      <c r="M53" s="35"/>
      <c r="N53" s="34"/>
      <c r="O53" s="35"/>
      <c r="P53" s="34"/>
      <c r="Q53" s="35"/>
      <c r="R53" s="34"/>
      <c r="S53" s="35"/>
    </row>
    <row r="54" spans="1:19" ht="18.75" x14ac:dyDescent="0.3">
      <c r="A54" s="14">
        <f t="shared" si="0"/>
        <v>53</v>
      </c>
      <c r="B54" s="22"/>
      <c r="C54" s="37"/>
      <c r="D54" s="22"/>
      <c r="E54" s="37"/>
      <c r="F54" s="22" t="s">
        <v>27</v>
      </c>
      <c r="G54" s="37" t="str">
        <f>CONCATENATE($E$50,TEXT('Ref Num'!A5,"#.#"))</f>
        <v>3.9.3</v>
      </c>
      <c r="H54" s="22"/>
      <c r="I54" s="37"/>
      <c r="J54" s="22"/>
      <c r="K54" s="37"/>
      <c r="L54" s="34"/>
      <c r="M54" s="35"/>
      <c r="N54" s="34"/>
      <c r="O54" s="35"/>
      <c r="P54" s="34"/>
      <c r="Q54" s="35"/>
      <c r="R54" s="34"/>
      <c r="S54" s="35"/>
    </row>
    <row r="55" spans="1:19" ht="18.75" x14ac:dyDescent="0.3">
      <c r="A55" s="14">
        <f t="shared" si="0"/>
        <v>54</v>
      </c>
      <c r="B55" s="22"/>
      <c r="C55" s="37"/>
      <c r="D55" s="22"/>
      <c r="E55" s="37"/>
      <c r="F55" s="22"/>
      <c r="G55" s="37"/>
      <c r="H55" s="22" t="s">
        <v>41</v>
      </c>
      <c r="I55" s="37" t="str">
        <f>CONCATENATE($G$54,TEXT('Ref Num'!A3,"#.#"))</f>
        <v>3.9.3.1</v>
      </c>
      <c r="J55" s="22"/>
      <c r="K55" s="37"/>
      <c r="L55" s="34"/>
      <c r="M55" s="35"/>
      <c r="N55" s="34"/>
      <c r="O55" s="35"/>
      <c r="P55" s="34"/>
      <c r="Q55" s="35"/>
      <c r="R55" s="34"/>
      <c r="S55" s="35"/>
    </row>
    <row r="56" spans="1:19" ht="18.75" x14ac:dyDescent="0.3">
      <c r="A56" s="14">
        <f t="shared" si="0"/>
        <v>55</v>
      </c>
      <c r="B56" s="22"/>
      <c r="C56" s="37"/>
      <c r="D56" s="22"/>
      <c r="E56" s="37"/>
      <c r="F56" s="22"/>
      <c r="G56" s="37"/>
      <c r="H56" s="22" t="s">
        <v>39</v>
      </c>
      <c r="I56" s="37" t="str">
        <f>CONCATENATE($G$54,TEXT('Ref Num'!A4,"#.#"))</f>
        <v>3.9.3.2</v>
      </c>
      <c r="J56" s="22"/>
      <c r="K56" s="37"/>
      <c r="L56" s="34"/>
      <c r="M56" s="35"/>
      <c r="N56" s="34"/>
      <c r="O56" s="35"/>
      <c r="P56" s="34"/>
      <c r="Q56" s="35"/>
      <c r="R56" s="34"/>
      <c r="S56" s="35"/>
    </row>
    <row r="57" spans="1:19" ht="18.75" x14ac:dyDescent="0.3">
      <c r="A57" s="14">
        <f t="shared" si="0"/>
        <v>56</v>
      </c>
      <c r="B57" s="22"/>
      <c r="C57" s="37"/>
      <c r="D57" s="22"/>
      <c r="E57" s="37"/>
      <c r="F57" s="22"/>
      <c r="G57" s="37"/>
      <c r="H57" s="22" t="s">
        <v>40</v>
      </c>
      <c r="I57" s="37" t="str">
        <f>CONCATENATE($G$54,TEXT('Ref Num'!A5,"#.#"))</f>
        <v>3.9.3.3</v>
      </c>
      <c r="J57" s="22"/>
      <c r="K57" s="37"/>
      <c r="L57" s="34"/>
      <c r="M57" s="35"/>
      <c r="N57" s="34"/>
      <c r="O57" s="35"/>
      <c r="P57" s="34"/>
      <c r="Q57" s="35"/>
      <c r="R57" s="34"/>
      <c r="S57" s="35"/>
    </row>
    <row r="58" spans="1:19" ht="18.75" x14ac:dyDescent="0.3">
      <c r="A58" s="14">
        <f t="shared" si="0"/>
        <v>57</v>
      </c>
      <c r="B58" s="22"/>
      <c r="C58" s="37"/>
      <c r="D58" s="22" t="s">
        <v>44</v>
      </c>
      <c r="E58" s="37" t="str">
        <f>CONCATENATE($C$6,TEXT('Ref Num'!A12,"#.#0"))</f>
        <v>3.10</v>
      </c>
      <c r="F58" s="22"/>
      <c r="G58" s="37"/>
      <c r="H58" s="22"/>
      <c r="I58" s="37"/>
      <c r="J58" s="22"/>
      <c r="K58" s="37"/>
      <c r="L58" s="34"/>
      <c r="M58" s="35"/>
      <c r="N58" s="34"/>
      <c r="O58" s="35"/>
      <c r="P58" s="34"/>
      <c r="Q58" s="35"/>
      <c r="R58" s="34"/>
      <c r="S58" s="35"/>
    </row>
    <row r="59" spans="1:19" ht="18.75" x14ac:dyDescent="0.3">
      <c r="A59" s="14">
        <f t="shared" si="0"/>
        <v>58</v>
      </c>
      <c r="B59" s="22" t="s">
        <v>13</v>
      </c>
      <c r="C59" s="37">
        <f>1+C6</f>
        <v>4</v>
      </c>
      <c r="D59" s="22"/>
      <c r="E59" s="37"/>
      <c r="F59" s="22"/>
      <c r="G59" s="37"/>
      <c r="H59" s="22"/>
      <c r="I59" s="37"/>
      <c r="J59" s="22"/>
      <c r="K59" s="37"/>
      <c r="L59" s="34"/>
      <c r="M59" s="35"/>
      <c r="N59" s="34"/>
      <c r="O59" s="35"/>
      <c r="P59" s="34"/>
      <c r="Q59" s="35"/>
      <c r="R59" s="34"/>
      <c r="S59" s="35"/>
    </row>
    <row r="60" spans="1:19" ht="18.75" x14ac:dyDescent="0.3">
      <c r="A60" s="14">
        <f t="shared" si="0"/>
        <v>59</v>
      </c>
      <c r="B60" s="22"/>
      <c r="C60" s="37"/>
      <c r="D60" s="22" t="s">
        <v>30</v>
      </c>
      <c r="E60" s="37" t="str">
        <f>CONCATENATE($C$59,TEXT('Ref Num'!A3,"#.#"))</f>
        <v>4.1</v>
      </c>
      <c r="F60" s="22"/>
      <c r="G60" s="37"/>
      <c r="H60" s="22"/>
      <c r="I60" s="37"/>
      <c r="J60" s="22"/>
      <c r="K60" s="37"/>
      <c r="L60" s="34"/>
      <c r="M60" s="35"/>
      <c r="N60" s="34"/>
      <c r="O60" s="35"/>
      <c r="P60" s="34"/>
      <c r="Q60" s="35"/>
      <c r="R60" s="34"/>
      <c r="S60" s="35"/>
    </row>
    <row r="61" spans="1:19" ht="18.75" x14ac:dyDescent="0.3">
      <c r="A61" s="14">
        <f t="shared" si="0"/>
        <v>60</v>
      </c>
      <c r="B61" s="22"/>
      <c r="C61" s="37"/>
      <c r="D61" s="22" t="s">
        <v>31</v>
      </c>
      <c r="E61" s="37" t="str">
        <f>CONCATENATE($C$59,TEXT('Ref Num'!A4,"#.#"))</f>
        <v>4.2</v>
      </c>
      <c r="F61" s="22"/>
      <c r="G61" s="37"/>
      <c r="H61" s="22"/>
      <c r="I61" s="37"/>
      <c r="J61" s="22"/>
      <c r="K61" s="37"/>
      <c r="L61" s="34"/>
      <c r="M61" s="35"/>
      <c r="N61" s="34"/>
      <c r="O61" s="35"/>
      <c r="P61" s="34"/>
      <c r="Q61" s="35"/>
      <c r="R61" s="34"/>
      <c r="S61" s="35"/>
    </row>
    <row r="62" spans="1:19" ht="18.75" x14ac:dyDescent="0.3">
      <c r="A62" s="14">
        <f t="shared" si="0"/>
        <v>61</v>
      </c>
      <c r="B62" s="22"/>
      <c r="C62" s="37"/>
      <c r="D62" s="22" t="s">
        <v>32</v>
      </c>
      <c r="E62" s="37" t="str">
        <f>CONCATENATE($C$59,TEXT('Ref Num'!A5,"#.#"))</f>
        <v>4.3</v>
      </c>
      <c r="F62" s="22"/>
      <c r="G62" s="37"/>
      <c r="H62" s="22"/>
      <c r="I62" s="37"/>
      <c r="J62" s="22"/>
      <c r="K62" s="37"/>
      <c r="L62" s="34"/>
      <c r="M62" s="35"/>
      <c r="N62" s="34"/>
      <c r="O62" s="35"/>
      <c r="P62" s="34"/>
      <c r="Q62" s="35"/>
      <c r="R62" s="34"/>
      <c r="S62" s="35"/>
    </row>
    <row r="63" spans="1:19" ht="18.75" x14ac:dyDescent="0.3">
      <c r="A63" s="14">
        <f t="shared" si="0"/>
        <v>62</v>
      </c>
      <c r="B63" s="22"/>
      <c r="C63" s="37"/>
      <c r="D63" s="22" t="s">
        <v>33</v>
      </c>
      <c r="E63" s="37" t="str">
        <f>CONCATENATE($C$59,TEXT('Ref Num'!A6,"#.#"))</f>
        <v>4.4</v>
      </c>
      <c r="F63" s="22"/>
      <c r="G63" s="37"/>
      <c r="H63" s="22"/>
      <c r="I63" s="37"/>
      <c r="J63" s="22"/>
      <c r="K63" s="37"/>
      <c r="L63" s="34"/>
      <c r="M63" s="35"/>
      <c r="N63" s="34"/>
      <c r="O63" s="35"/>
      <c r="P63" s="34"/>
      <c r="Q63" s="35"/>
      <c r="R63" s="34"/>
      <c r="S63" s="35"/>
    </row>
    <row r="64" spans="1:19" ht="18.75" x14ac:dyDescent="0.3">
      <c r="A64" s="14">
        <f t="shared" si="0"/>
        <v>63</v>
      </c>
      <c r="B64" s="22"/>
      <c r="C64" s="37"/>
      <c r="D64" s="22" t="s">
        <v>34</v>
      </c>
      <c r="E64" s="37" t="str">
        <f>CONCATENATE($C$59,TEXT('Ref Num'!A7,"#.#"))</f>
        <v>4.5</v>
      </c>
      <c r="F64" s="22"/>
      <c r="G64" s="37"/>
      <c r="H64" s="22"/>
      <c r="I64" s="37"/>
      <c r="J64" s="22"/>
      <c r="K64" s="37"/>
      <c r="L64" s="34"/>
      <c r="M64" s="35"/>
      <c r="N64" s="34"/>
      <c r="O64" s="35"/>
      <c r="P64" s="34"/>
      <c r="Q64" s="35"/>
      <c r="R64" s="34"/>
      <c r="S64" s="35"/>
    </row>
    <row r="65" spans="1:19" ht="18.75" x14ac:dyDescent="0.3">
      <c r="A65" s="14">
        <f t="shared" si="0"/>
        <v>64</v>
      </c>
      <c r="B65" s="22" t="s">
        <v>35</v>
      </c>
      <c r="C65" s="37">
        <f>+C59+1</f>
        <v>5</v>
      </c>
      <c r="D65" s="22"/>
      <c r="E65" s="37"/>
      <c r="F65" s="22"/>
      <c r="G65" s="37"/>
      <c r="H65" s="22"/>
      <c r="I65" s="37"/>
      <c r="J65" s="22"/>
      <c r="K65" s="37"/>
      <c r="L65" s="34"/>
      <c r="M65" s="35"/>
      <c r="N65" s="34"/>
      <c r="O65" s="35"/>
      <c r="P65" s="34"/>
      <c r="Q65" s="35"/>
      <c r="R65" s="34"/>
      <c r="S65" s="35"/>
    </row>
    <row r="66" spans="1:19" ht="18.75" x14ac:dyDescent="0.3">
      <c r="A66" s="14">
        <f t="shared" si="0"/>
        <v>65</v>
      </c>
      <c r="B66" s="22" t="s">
        <v>36</v>
      </c>
      <c r="C66" s="37">
        <f>+C65+1</f>
        <v>6</v>
      </c>
      <c r="D66" s="22"/>
      <c r="E66" s="37"/>
      <c r="F66" s="22"/>
      <c r="G66" s="37"/>
      <c r="H66" s="22"/>
      <c r="I66" s="37"/>
      <c r="J66" s="22"/>
      <c r="K66" s="37"/>
      <c r="L66" s="34"/>
      <c r="M66" s="35"/>
      <c r="N66" s="34"/>
      <c r="O66" s="35"/>
      <c r="P66" s="34"/>
      <c r="Q66" s="35"/>
      <c r="R66" s="34"/>
      <c r="S66" s="35"/>
    </row>
    <row r="67" spans="1:19" ht="18.75" x14ac:dyDescent="0.3">
      <c r="A67" s="14">
        <f t="shared" si="0"/>
        <v>66</v>
      </c>
      <c r="B67" s="22" t="s">
        <v>37</v>
      </c>
      <c r="C67" s="37">
        <f>+C66+1</f>
        <v>7</v>
      </c>
      <c r="D67" s="22"/>
      <c r="E67" s="37"/>
      <c r="F67" s="22"/>
      <c r="G67" s="37"/>
      <c r="H67" s="22"/>
      <c r="I67" s="37"/>
      <c r="J67" s="22"/>
      <c r="K67" s="37"/>
      <c r="L67" s="34"/>
      <c r="M67" s="35"/>
      <c r="N67" s="34"/>
      <c r="O67" s="35"/>
      <c r="P67" s="34"/>
      <c r="Q67" s="35"/>
      <c r="R67" s="34"/>
      <c r="S67" s="35"/>
    </row>
    <row r="68" spans="1:19" ht="18.75" x14ac:dyDescent="0.3">
      <c r="A68" s="14">
        <f t="shared" si="0"/>
        <v>67</v>
      </c>
      <c r="B68" s="22"/>
      <c r="C68" s="37"/>
      <c r="D68" s="22"/>
      <c r="E68" s="37"/>
      <c r="F68" s="22"/>
      <c r="G68" s="37"/>
      <c r="H68" s="22"/>
      <c r="I68" s="37"/>
      <c r="J68" s="22"/>
      <c r="K68" s="37"/>
      <c r="L68" s="34"/>
      <c r="M68" s="35"/>
      <c r="N68" s="34"/>
      <c r="O68" s="35"/>
      <c r="P68" s="34"/>
      <c r="Q68" s="35"/>
      <c r="R68" s="34"/>
      <c r="S68" s="35"/>
    </row>
    <row r="69" spans="1:19" ht="18.75" x14ac:dyDescent="0.3">
      <c r="A69" s="14">
        <f t="shared" si="0"/>
        <v>68</v>
      </c>
      <c r="B69" s="22"/>
      <c r="C69" s="37"/>
      <c r="D69" s="22"/>
      <c r="E69" s="37"/>
      <c r="F69" s="22"/>
      <c r="G69" s="37"/>
      <c r="H69" s="22"/>
      <c r="I69" s="37"/>
      <c r="J69" s="22"/>
      <c r="K69" s="37"/>
      <c r="L69" s="34"/>
      <c r="M69" s="35"/>
      <c r="N69" s="34"/>
      <c r="O69" s="35"/>
      <c r="P69" s="34"/>
      <c r="Q69" s="35"/>
      <c r="R69" s="34"/>
      <c r="S69" s="35"/>
    </row>
    <row r="70" spans="1:19" ht="18.75" x14ac:dyDescent="0.3">
      <c r="A70" s="14">
        <f t="shared" si="0"/>
        <v>69</v>
      </c>
      <c r="B70" s="22"/>
      <c r="C70" s="37"/>
      <c r="D70" s="22"/>
      <c r="E70" s="37"/>
      <c r="F70" s="22"/>
      <c r="G70" s="37"/>
      <c r="H70" s="22"/>
      <c r="I70" s="37"/>
      <c r="J70" s="22"/>
      <c r="K70" s="37"/>
      <c r="L70" s="34"/>
      <c r="M70" s="35"/>
      <c r="N70" s="34"/>
      <c r="O70" s="35"/>
      <c r="P70" s="34"/>
      <c r="Q70" s="35"/>
      <c r="R70" s="34"/>
      <c r="S70" s="35"/>
    </row>
    <row r="71" spans="1:19" ht="18.75" x14ac:dyDescent="0.3">
      <c r="A71" s="14">
        <f t="shared" si="0"/>
        <v>70</v>
      </c>
      <c r="B71" s="22"/>
      <c r="C71" s="37"/>
      <c r="D71" s="22"/>
      <c r="E71" s="37"/>
      <c r="F71" s="22"/>
      <c r="G71" s="37"/>
      <c r="H71" s="22"/>
      <c r="I71" s="37"/>
      <c r="J71" s="22"/>
      <c r="K71" s="37"/>
      <c r="L71" s="34"/>
      <c r="M71" s="35"/>
      <c r="N71" s="34"/>
      <c r="O71" s="35"/>
      <c r="P71" s="34"/>
      <c r="Q71" s="35"/>
      <c r="R71" s="34"/>
      <c r="S71" s="35"/>
    </row>
  </sheetData>
  <autoFilter ref="A1:S71"/>
  <dataValidations count="1">
    <dataValidation type="list" allowBlank="1" showInputMessage="1" showErrorMessage="1" sqref="M3:M71 Q3:Q71 S3:S71 O3:O71">
      <formula1>Emp_Name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A59"/>
  <sheetViews>
    <sheetView showGridLines="0" workbookViewId="0"/>
  </sheetViews>
  <sheetFormatPr defaultRowHeight="15" customHeight="1" x14ac:dyDescent="0.25"/>
  <cols>
    <col min="1" max="1" width="9.140625" style="3"/>
    <col min="2" max="12" width="9.140625" style="4"/>
    <col min="13" max="13" width="19.28515625" style="4" bestFit="1" customWidth="1"/>
    <col min="14" max="16384" width="9.140625" style="4"/>
  </cols>
  <sheetData>
    <row r="1" spans="1:27" ht="15" customHeight="1" x14ac:dyDescent="0.25">
      <c r="A1" s="3" t="s">
        <v>51</v>
      </c>
      <c r="E1" s="4" t="s">
        <v>89</v>
      </c>
      <c r="I1" s="4" t="s">
        <v>15</v>
      </c>
      <c r="K1" s="4" t="s">
        <v>492</v>
      </c>
      <c r="M1" s="4" t="s">
        <v>494</v>
      </c>
      <c r="N1" s="4" t="s">
        <v>627</v>
      </c>
      <c r="Q1" s="4" t="s">
        <v>626</v>
      </c>
      <c r="V1" s="4" t="s">
        <v>628</v>
      </c>
      <c r="Z1" s="4" t="s">
        <v>573</v>
      </c>
    </row>
    <row r="2" spans="1:27" ht="15" customHeight="1" x14ac:dyDescent="0.25">
      <c r="A2" s="3" t="s">
        <v>52</v>
      </c>
      <c r="E2" s="4" t="s">
        <v>213</v>
      </c>
      <c r="I2" s="4" t="s">
        <v>20</v>
      </c>
      <c r="K2" s="4" t="s">
        <v>493</v>
      </c>
      <c r="M2" s="4" t="s">
        <v>495</v>
      </c>
      <c r="N2" s="4" t="s">
        <v>594</v>
      </c>
      <c r="Q2" s="4" t="s">
        <v>572</v>
      </c>
      <c r="V2" s="4" t="s">
        <v>629</v>
      </c>
      <c r="AA2" s="4" t="s">
        <v>563</v>
      </c>
    </row>
    <row r="3" spans="1:27" ht="15" customHeight="1" x14ac:dyDescent="0.25">
      <c r="A3" s="3" t="s">
        <v>505</v>
      </c>
      <c r="E3" s="4" t="s">
        <v>90</v>
      </c>
      <c r="M3" s="4" t="s">
        <v>496</v>
      </c>
      <c r="N3" s="4" t="s">
        <v>595</v>
      </c>
      <c r="Q3" s="4" t="s">
        <v>520</v>
      </c>
      <c r="V3" s="4" t="s">
        <v>630</v>
      </c>
      <c r="AA3" s="4" t="s">
        <v>564</v>
      </c>
    </row>
    <row r="4" spans="1:27" ht="15" customHeight="1" x14ac:dyDescent="0.25">
      <c r="A4" s="3" t="s">
        <v>55</v>
      </c>
      <c r="E4" s="4" t="s">
        <v>91</v>
      </c>
      <c r="Q4" s="4" t="s">
        <v>504</v>
      </c>
      <c r="V4" s="4" t="s">
        <v>631</v>
      </c>
      <c r="AA4" s="4" t="s">
        <v>565</v>
      </c>
    </row>
    <row r="5" spans="1:27" ht="15" customHeight="1" x14ac:dyDescent="0.25">
      <c r="A5" s="3" t="s">
        <v>568</v>
      </c>
      <c r="E5" s="4" t="s">
        <v>92</v>
      </c>
      <c r="Q5" s="4" t="s">
        <v>498</v>
      </c>
      <c r="V5" s="4" t="s">
        <v>632</v>
      </c>
    </row>
    <row r="6" spans="1:27" ht="15" customHeight="1" x14ac:dyDescent="0.25">
      <c r="A6" s="3" t="s">
        <v>569</v>
      </c>
      <c r="E6" s="4" t="s">
        <v>93</v>
      </c>
      <c r="M6" s="63" t="s">
        <v>614</v>
      </c>
      <c r="Q6" s="4" t="s">
        <v>497</v>
      </c>
      <c r="Z6" s="4" t="s">
        <v>574</v>
      </c>
    </row>
    <row r="7" spans="1:27" ht="15" customHeight="1" x14ac:dyDescent="0.25">
      <c r="A7" s="1" t="s">
        <v>570</v>
      </c>
      <c r="E7" s="4" t="s">
        <v>120</v>
      </c>
      <c r="M7" s="63" t="s">
        <v>605</v>
      </c>
      <c r="Q7" s="4" t="s">
        <v>571</v>
      </c>
      <c r="AA7" s="4" t="s">
        <v>566</v>
      </c>
    </row>
    <row r="8" spans="1:27" ht="15" customHeight="1" x14ac:dyDescent="0.25">
      <c r="E8" s="4" t="s">
        <v>185</v>
      </c>
      <c r="Q8" s="4" t="s">
        <v>521</v>
      </c>
      <c r="AA8" s="4" t="s">
        <v>567</v>
      </c>
    </row>
    <row r="9" spans="1:27" ht="15" customHeight="1" x14ac:dyDescent="0.25">
      <c r="E9" s="4" t="s">
        <v>94</v>
      </c>
      <c r="Q9" s="4" t="s">
        <v>499</v>
      </c>
    </row>
    <row r="10" spans="1:27" ht="15" customHeight="1" x14ac:dyDescent="0.25">
      <c r="E10" s="4" t="s">
        <v>95</v>
      </c>
      <c r="Q10" s="4" t="s">
        <v>500</v>
      </c>
    </row>
    <row r="11" spans="1:27" ht="15" customHeight="1" x14ac:dyDescent="0.25">
      <c r="E11" s="4" t="s">
        <v>101</v>
      </c>
    </row>
    <row r="12" spans="1:27" ht="15" customHeight="1" x14ac:dyDescent="0.25">
      <c r="E12" s="4" t="s">
        <v>116</v>
      </c>
      <c r="Q12" s="63" t="s">
        <v>593</v>
      </c>
    </row>
    <row r="13" spans="1:27" ht="15" customHeight="1" x14ac:dyDescent="0.25">
      <c r="E13" s="4" t="s">
        <v>117</v>
      </c>
    </row>
    <row r="14" spans="1:27" ht="15" customHeight="1" x14ac:dyDescent="0.25">
      <c r="E14" s="4" t="s">
        <v>118</v>
      </c>
    </row>
    <row r="15" spans="1:27" ht="15" customHeight="1" x14ac:dyDescent="0.25">
      <c r="E15" s="4" t="s">
        <v>119</v>
      </c>
    </row>
    <row r="16" spans="1:27" ht="15" customHeight="1" x14ac:dyDescent="0.25">
      <c r="E16" s="4" t="s">
        <v>342</v>
      </c>
    </row>
    <row r="17" spans="5:5" ht="15" customHeight="1" x14ac:dyDescent="0.25">
      <c r="E17" s="4" t="s">
        <v>123</v>
      </c>
    </row>
    <row r="18" spans="5:5" ht="15" customHeight="1" x14ac:dyDescent="0.25">
      <c r="E18" s="4" t="s">
        <v>150</v>
      </c>
    </row>
    <row r="19" spans="5:5" ht="15" customHeight="1" x14ac:dyDescent="0.25">
      <c r="E19" s="4" t="s">
        <v>158</v>
      </c>
    </row>
    <row r="20" spans="5:5" ht="15" customHeight="1" x14ac:dyDescent="0.25">
      <c r="E20" s="4" t="s">
        <v>249</v>
      </c>
    </row>
    <row r="21" spans="5:5" ht="15" customHeight="1" x14ac:dyDescent="0.25">
      <c r="E21" s="4" t="s">
        <v>286</v>
      </c>
    </row>
    <row r="22" spans="5:5" ht="15" customHeight="1" x14ac:dyDescent="0.25">
      <c r="E22" s="4" t="s">
        <v>288</v>
      </c>
    </row>
    <row r="23" spans="5:5" ht="15" customHeight="1" x14ac:dyDescent="0.25">
      <c r="E23" s="4" t="s">
        <v>334</v>
      </c>
    </row>
    <row r="24" spans="5:5" ht="15" customHeight="1" x14ac:dyDescent="0.25">
      <c r="E24" s="4" t="s">
        <v>548</v>
      </c>
    </row>
    <row r="25" spans="5:5" ht="15" customHeight="1" x14ac:dyDescent="0.25">
      <c r="E25" s="4" t="s">
        <v>549</v>
      </c>
    </row>
    <row r="38" spans="1:1" ht="15" customHeight="1" x14ac:dyDescent="0.25">
      <c r="A38" s="68" t="s">
        <v>606</v>
      </c>
    </row>
    <row r="39" spans="1:1" ht="15" customHeight="1" x14ac:dyDescent="0.25">
      <c r="A39" s="3" t="s">
        <v>615</v>
      </c>
    </row>
    <row r="40" spans="1:1" ht="15" customHeight="1" x14ac:dyDescent="0.25">
      <c r="A40" s="3" t="s">
        <v>607</v>
      </c>
    </row>
    <row r="41" spans="1:1" ht="15" customHeight="1" x14ac:dyDescent="0.25">
      <c r="A41" s="3" t="s">
        <v>608</v>
      </c>
    </row>
    <row r="42" spans="1:1" ht="15" customHeight="1" x14ac:dyDescent="0.25">
      <c r="A42" s="3" t="s">
        <v>609</v>
      </c>
    </row>
    <row r="44" spans="1:1" ht="15" customHeight="1" x14ac:dyDescent="0.25">
      <c r="A44" s="3" t="s">
        <v>610</v>
      </c>
    </row>
    <row r="46" spans="1:1" ht="15" customHeight="1" x14ac:dyDescent="0.25">
      <c r="A46" s="3" t="s">
        <v>617</v>
      </c>
    </row>
    <row r="47" spans="1:1" ht="15" customHeight="1" x14ac:dyDescent="0.25">
      <c r="A47" s="69" t="s">
        <v>612</v>
      </c>
    </row>
    <row r="48" spans="1:1" ht="15" customHeight="1" x14ac:dyDescent="0.25">
      <c r="A48" s="69"/>
    </row>
    <row r="49" spans="1:1" ht="15" customHeight="1" x14ac:dyDescent="0.25">
      <c r="A49" s="3" t="s">
        <v>613</v>
      </c>
    </row>
    <row r="50" spans="1:1" ht="15" customHeight="1" x14ac:dyDescent="0.25">
      <c r="A50" s="3" t="s">
        <v>603</v>
      </c>
    </row>
    <row r="52" spans="1:1" ht="15" customHeight="1" x14ac:dyDescent="0.25">
      <c r="A52" s="3" t="s">
        <v>618</v>
      </c>
    </row>
    <row r="53" spans="1:1" ht="15" customHeight="1" x14ac:dyDescent="0.25">
      <c r="A53" s="3" t="s">
        <v>604</v>
      </c>
    </row>
    <row r="54" spans="1:1" ht="15" customHeight="1" x14ac:dyDescent="0.25">
      <c r="A54" s="3" t="s">
        <v>620</v>
      </c>
    </row>
    <row r="56" spans="1:1" ht="15" customHeight="1" x14ac:dyDescent="0.25">
      <c r="A56" s="3" t="s">
        <v>616</v>
      </c>
    </row>
    <row r="58" spans="1:1" ht="15" customHeight="1" x14ac:dyDescent="0.25">
      <c r="A58" s="3" t="s">
        <v>619</v>
      </c>
    </row>
    <row r="59" spans="1:1" ht="15" customHeight="1" x14ac:dyDescent="0.25">
      <c r="A59" s="69" t="s">
        <v>611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33"/>
  <sheetViews>
    <sheetView showGridLines="0" workbookViewId="0"/>
  </sheetViews>
  <sheetFormatPr defaultRowHeight="15" x14ac:dyDescent="0.25"/>
  <sheetData>
    <row r="1" spans="1:6" ht="15.75" x14ac:dyDescent="0.25">
      <c r="A1" s="10" t="s">
        <v>70</v>
      </c>
      <c r="B1" s="1"/>
      <c r="C1" s="1"/>
      <c r="F1" s="1" t="s">
        <v>71</v>
      </c>
    </row>
    <row r="2" spans="1:6" ht="15.75" x14ac:dyDescent="0.25">
      <c r="A2" s="5" t="s">
        <v>66</v>
      </c>
      <c r="B2" s="5" t="s">
        <v>67</v>
      </c>
      <c r="C2" s="1"/>
      <c r="F2" s="1" t="s">
        <v>72</v>
      </c>
    </row>
    <row r="3" spans="1:6" ht="15.75" x14ac:dyDescent="0.25">
      <c r="A3" s="7">
        <v>0.1</v>
      </c>
      <c r="B3" s="5"/>
      <c r="C3" s="1"/>
      <c r="F3" s="1" t="s">
        <v>75</v>
      </c>
    </row>
    <row r="4" spans="1:6" ht="15.75" x14ac:dyDescent="0.25">
      <c r="A4" s="7">
        <v>0.2</v>
      </c>
      <c r="B4" s="5"/>
      <c r="C4" s="1"/>
      <c r="F4" s="1" t="s">
        <v>73</v>
      </c>
    </row>
    <row r="5" spans="1:6" ht="15.75" x14ac:dyDescent="0.25">
      <c r="A5" s="7">
        <v>0.3</v>
      </c>
      <c r="B5" s="5"/>
      <c r="C5" s="1"/>
      <c r="F5" s="1" t="s">
        <v>74</v>
      </c>
    </row>
    <row r="6" spans="1:6" ht="15.75" x14ac:dyDescent="0.25">
      <c r="A6" s="7">
        <v>0.4</v>
      </c>
      <c r="B6" s="5"/>
      <c r="C6" s="1"/>
    </row>
    <row r="7" spans="1:6" ht="15.75" x14ac:dyDescent="0.25">
      <c r="A7" s="7">
        <v>0.5</v>
      </c>
      <c r="B7" s="1"/>
      <c r="C7" s="1"/>
    </row>
    <row r="8" spans="1:6" ht="15.75" x14ac:dyDescent="0.25">
      <c r="A8" s="7">
        <v>0.6</v>
      </c>
      <c r="B8" s="1"/>
      <c r="C8" s="1"/>
    </row>
    <row r="9" spans="1:6" ht="15.75" x14ac:dyDescent="0.25">
      <c r="A9" s="7">
        <v>0.7</v>
      </c>
      <c r="B9" s="1"/>
      <c r="C9" s="1"/>
    </row>
    <row r="10" spans="1:6" ht="15.75" x14ac:dyDescent="0.25">
      <c r="A10" s="7">
        <v>0.8</v>
      </c>
      <c r="B10" s="1"/>
      <c r="C10" s="1"/>
    </row>
    <row r="11" spans="1:6" ht="15.75" x14ac:dyDescent="0.25">
      <c r="A11" s="7">
        <v>0.9</v>
      </c>
      <c r="B11" s="1"/>
      <c r="C11" s="1"/>
    </row>
    <row r="12" spans="1:6" ht="15.75" x14ac:dyDescent="0.25">
      <c r="A12" s="8">
        <v>0.1</v>
      </c>
      <c r="B12" s="5" t="s">
        <v>68</v>
      </c>
      <c r="C12" s="1"/>
    </row>
    <row r="13" spans="1:6" ht="15.75" x14ac:dyDescent="0.25">
      <c r="A13" s="8">
        <v>0.11</v>
      </c>
      <c r="B13" s="1"/>
      <c r="C13" s="1"/>
    </row>
    <row r="14" spans="1:6" ht="15.75" x14ac:dyDescent="0.25">
      <c r="A14" s="8">
        <v>0.12</v>
      </c>
      <c r="B14" s="1"/>
      <c r="C14" s="1"/>
    </row>
    <row r="15" spans="1:6" ht="15.75" x14ac:dyDescent="0.25">
      <c r="A15" s="8">
        <v>0.13</v>
      </c>
      <c r="B15" s="1"/>
      <c r="C15" s="1"/>
    </row>
    <row r="16" spans="1:6" ht="15.75" x14ac:dyDescent="0.25">
      <c r="A16" s="8">
        <v>0.14000000000000001</v>
      </c>
      <c r="B16" s="1"/>
      <c r="C16" s="1"/>
    </row>
    <row r="17" spans="1:3" ht="15.75" x14ac:dyDescent="0.25">
      <c r="A17" s="8">
        <v>0.15</v>
      </c>
      <c r="B17" s="1"/>
      <c r="C17" s="1"/>
    </row>
    <row r="18" spans="1:3" ht="15.75" x14ac:dyDescent="0.25">
      <c r="A18" s="8">
        <v>0.16</v>
      </c>
      <c r="B18" s="1"/>
      <c r="C18" s="1"/>
    </row>
    <row r="19" spans="1:3" ht="15.75" x14ac:dyDescent="0.25">
      <c r="A19" s="8">
        <v>0.17</v>
      </c>
      <c r="B19" s="1"/>
      <c r="C19" s="1"/>
    </row>
    <row r="20" spans="1:3" ht="15.75" x14ac:dyDescent="0.25">
      <c r="A20" s="8">
        <v>0.18</v>
      </c>
      <c r="B20" s="1"/>
      <c r="C20" s="1"/>
    </row>
    <row r="21" spans="1:3" ht="15.75" x14ac:dyDescent="0.25">
      <c r="A21" s="8">
        <v>0.19</v>
      </c>
      <c r="B21" s="1"/>
      <c r="C21" s="1"/>
    </row>
    <row r="22" spans="1:3" ht="15.75" x14ac:dyDescent="0.25">
      <c r="A22" s="8">
        <v>0.2</v>
      </c>
      <c r="B22" s="1"/>
      <c r="C22" s="1"/>
    </row>
    <row r="23" spans="1:3" ht="15.75" x14ac:dyDescent="0.25">
      <c r="A23" s="6">
        <v>1</v>
      </c>
      <c r="B23" s="5" t="s">
        <v>69</v>
      </c>
      <c r="C23" s="1"/>
    </row>
    <row r="24" spans="1:3" ht="15.75" x14ac:dyDescent="0.25">
      <c r="A24" s="6">
        <v>2</v>
      </c>
      <c r="B24" s="1"/>
      <c r="C24" s="1"/>
    </row>
    <row r="25" spans="1:3" ht="15.75" x14ac:dyDescent="0.25">
      <c r="A25" s="6">
        <v>3</v>
      </c>
      <c r="B25" s="1"/>
      <c r="C25" s="1"/>
    </row>
    <row r="26" spans="1:3" ht="15.75" x14ac:dyDescent="0.25">
      <c r="A26" s="6">
        <v>4</v>
      </c>
      <c r="B26" s="1"/>
      <c r="C26" s="1"/>
    </row>
    <row r="27" spans="1:3" ht="15.75" x14ac:dyDescent="0.25">
      <c r="A27" s="6">
        <v>5</v>
      </c>
      <c r="B27" s="1"/>
      <c r="C27" s="1"/>
    </row>
    <row r="28" spans="1:3" ht="15.75" x14ac:dyDescent="0.25">
      <c r="A28" s="6">
        <v>6</v>
      </c>
      <c r="B28" s="5"/>
      <c r="C28" s="1"/>
    </row>
    <row r="29" spans="1:3" ht="15.75" x14ac:dyDescent="0.25">
      <c r="A29" s="6">
        <v>7</v>
      </c>
      <c r="B29" s="1"/>
      <c r="C29" s="1"/>
    </row>
    <row r="30" spans="1:3" ht="15.75" x14ac:dyDescent="0.25">
      <c r="A30" s="6">
        <v>8</v>
      </c>
      <c r="B30" s="1"/>
      <c r="C30" s="1"/>
    </row>
    <row r="31" spans="1:3" ht="15.75" x14ac:dyDescent="0.25">
      <c r="A31" s="6">
        <v>9</v>
      </c>
      <c r="B31" s="1"/>
      <c r="C31" s="1"/>
    </row>
    <row r="32" spans="1:3" ht="15.75" x14ac:dyDescent="0.25">
      <c r="A32" s="6">
        <v>10</v>
      </c>
      <c r="B32" s="1"/>
      <c r="C32" s="1"/>
    </row>
    <row r="33" spans="1:3" ht="15.75" x14ac:dyDescent="0.25">
      <c r="A33" s="6">
        <v>0</v>
      </c>
      <c r="B33" s="1"/>
      <c r="C33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754"/>
  <sheetViews>
    <sheetView showGridLines="0" zoomScaleNormal="100"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7.140625" style="11" bestFit="1" customWidth="1"/>
    <col min="2" max="2" width="20.7109375" style="12" customWidth="1"/>
    <col min="3" max="3" width="30.7109375" style="11" customWidth="1"/>
    <col min="4" max="4" width="30.7109375" style="13" customWidth="1"/>
    <col min="5" max="5" width="20.42578125" bestFit="1" customWidth="1"/>
    <col min="6" max="6" width="13.140625" bestFit="1" customWidth="1"/>
    <col min="7" max="7" width="15.85546875" bestFit="1" customWidth="1"/>
    <col min="8" max="8" width="50.7109375" customWidth="1"/>
  </cols>
  <sheetData>
    <row r="1" spans="1:8" ht="19.5" thickBot="1" x14ac:dyDescent="0.3">
      <c r="A1" s="23" t="s">
        <v>8</v>
      </c>
      <c r="B1" s="47" t="s">
        <v>76</v>
      </c>
      <c r="C1" s="48" t="s">
        <v>77</v>
      </c>
      <c r="D1" s="48" t="s">
        <v>368</v>
      </c>
      <c r="E1" s="47" t="s">
        <v>88</v>
      </c>
      <c r="F1" s="51" t="s">
        <v>491</v>
      </c>
      <c r="G1" s="49" t="s">
        <v>53</v>
      </c>
      <c r="H1" s="50" t="s">
        <v>256</v>
      </c>
    </row>
    <row r="2" spans="1:8" ht="18.75" x14ac:dyDescent="0.25">
      <c r="A2" s="31">
        <v>1</v>
      </c>
      <c r="B2" s="41" t="s">
        <v>96</v>
      </c>
      <c r="C2" s="42"/>
      <c r="D2" s="42"/>
      <c r="E2" s="43"/>
      <c r="F2" s="44"/>
      <c r="G2" s="45"/>
      <c r="H2" s="46"/>
    </row>
    <row r="3" spans="1:8" ht="18.75" x14ac:dyDescent="0.25">
      <c r="A3" s="14">
        <f>+A2+1</f>
        <v>2</v>
      </c>
      <c r="B3" s="15"/>
      <c r="C3" s="16" t="s">
        <v>99</v>
      </c>
      <c r="D3" s="16"/>
      <c r="E3" s="17" t="s">
        <v>94</v>
      </c>
      <c r="F3" s="44"/>
      <c r="G3" s="19"/>
      <c r="H3" s="20"/>
    </row>
    <row r="4" spans="1:8" ht="18.75" x14ac:dyDescent="0.25">
      <c r="A4" s="14">
        <f t="shared" ref="A4:A67" si="0">+A3+1</f>
        <v>3</v>
      </c>
      <c r="B4" s="15"/>
      <c r="C4" s="16" t="s">
        <v>100</v>
      </c>
      <c r="D4" s="16"/>
      <c r="E4" s="17" t="s">
        <v>101</v>
      </c>
      <c r="F4" s="44"/>
      <c r="G4" s="19"/>
      <c r="H4" s="20"/>
    </row>
    <row r="5" spans="1:8" ht="18.75" x14ac:dyDescent="0.25">
      <c r="A5" s="14">
        <f t="shared" si="0"/>
        <v>4</v>
      </c>
      <c r="B5" s="15"/>
      <c r="C5" s="16" t="s">
        <v>271</v>
      </c>
      <c r="D5" s="16"/>
      <c r="E5" s="17" t="s">
        <v>91</v>
      </c>
      <c r="F5" s="44"/>
      <c r="G5" s="19"/>
      <c r="H5" s="20"/>
    </row>
    <row r="6" spans="1:8" ht="18.75" x14ac:dyDescent="0.25">
      <c r="A6" s="14">
        <f t="shared" si="0"/>
        <v>5</v>
      </c>
      <c r="B6" s="15" t="s">
        <v>162</v>
      </c>
      <c r="C6" s="16"/>
      <c r="D6" s="16"/>
      <c r="E6" s="17"/>
      <c r="F6" s="44"/>
      <c r="G6" s="19"/>
      <c r="H6" s="20"/>
    </row>
    <row r="7" spans="1:8" ht="18.75" x14ac:dyDescent="0.25">
      <c r="A7" s="14">
        <f t="shared" si="0"/>
        <v>6</v>
      </c>
      <c r="B7" s="15"/>
      <c r="C7" s="16" t="s">
        <v>54</v>
      </c>
      <c r="D7" s="21"/>
      <c r="E7" s="17" t="s">
        <v>89</v>
      </c>
      <c r="F7" s="44"/>
      <c r="G7" s="19"/>
      <c r="H7" s="20"/>
    </row>
    <row r="8" spans="1:8" ht="18.75" x14ac:dyDescent="0.25">
      <c r="A8" s="14">
        <f t="shared" si="0"/>
        <v>7</v>
      </c>
      <c r="B8" s="15"/>
      <c r="C8" s="16" t="s">
        <v>78</v>
      </c>
      <c r="D8" s="21"/>
      <c r="E8" s="17" t="s">
        <v>89</v>
      </c>
      <c r="F8" s="44"/>
      <c r="G8" s="19"/>
      <c r="H8" s="20"/>
    </row>
    <row r="9" spans="1:8" ht="18.75" x14ac:dyDescent="0.25">
      <c r="A9" s="14">
        <f t="shared" si="0"/>
        <v>8</v>
      </c>
      <c r="B9" s="15"/>
      <c r="C9" s="16" t="s">
        <v>79</v>
      </c>
      <c r="D9" s="21"/>
      <c r="E9" s="17" t="s">
        <v>89</v>
      </c>
      <c r="F9" s="44"/>
      <c r="G9" s="19"/>
      <c r="H9" s="20"/>
    </row>
    <row r="10" spans="1:8" ht="18.75" x14ac:dyDescent="0.25">
      <c r="A10" s="14">
        <f t="shared" si="0"/>
        <v>9</v>
      </c>
      <c r="B10" s="15"/>
      <c r="C10" s="16" t="s">
        <v>80</v>
      </c>
      <c r="D10" s="21"/>
      <c r="E10" s="17" t="s">
        <v>89</v>
      </c>
      <c r="F10" s="44"/>
      <c r="G10" s="19"/>
      <c r="H10" s="20"/>
    </row>
    <row r="11" spans="1:8" ht="18.75" x14ac:dyDescent="0.25">
      <c r="A11" s="14">
        <f t="shared" si="0"/>
        <v>10</v>
      </c>
      <c r="B11" s="15"/>
      <c r="C11" s="16" t="s">
        <v>81</v>
      </c>
      <c r="D11" s="21"/>
      <c r="E11" s="17" t="s">
        <v>90</v>
      </c>
      <c r="F11" s="44"/>
      <c r="G11" s="19"/>
      <c r="H11" s="20"/>
    </row>
    <row r="12" spans="1:8" ht="18.75" x14ac:dyDescent="0.25">
      <c r="A12" s="14">
        <f t="shared" si="0"/>
        <v>11</v>
      </c>
      <c r="B12" s="15"/>
      <c r="C12" s="16" t="s">
        <v>82</v>
      </c>
      <c r="D12" s="21"/>
      <c r="E12" s="17" t="s">
        <v>90</v>
      </c>
      <c r="F12" s="44"/>
      <c r="G12" s="19"/>
      <c r="H12" s="20"/>
    </row>
    <row r="13" spans="1:8" ht="18.75" x14ac:dyDescent="0.25">
      <c r="A13" s="14">
        <f t="shared" si="0"/>
        <v>12</v>
      </c>
      <c r="B13" s="15"/>
      <c r="C13" s="16" t="s">
        <v>84</v>
      </c>
      <c r="D13" s="21"/>
      <c r="E13" s="17" t="s">
        <v>90</v>
      </c>
      <c r="F13" s="44"/>
      <c r="G13" s="19"/>
      <c r="H13" s="20"/>
    </row>
    <row r="14" spans="1:8" ht="18.75" x14ac:dyDescent="0.25">
      <c r="A14" s="14">
        <f t="shared" si="0"/>
        <v>13</v>
      </c>
      <c r="B14" s="15"/>
      <c r="C14" s="16" t="s">
        <v>121</v>
      </c>
      <c r="D14" s="21"/>
      <c r="E14" s="17" t="s">
        <v>123</v>
      </c>
      <c r="F14" s="44"/>
      <c r="G14" s="19"/>
      <c r="H14" s="20"/>
    </row>
    <row r="15" spans="1:8" ht="18.75" x14ac:dyDescent="0.25">
      <c r="A15" s="14">
        <f t="shared" si="0"/>
        <v>14</v>
      </c>
      <c r="B15" s="15"/>
      <c r="C15" s="16" t="s">
        <v>122</v>
      </c>
      <c r="D15" s="21"/>
      <c r="E15" s="17" t="s">
        <v>123</v>
      </c>
      <c r="F15" s="44"/>
      <c r="G15" s="19"/>
      <c r="H15" s="20"/>
    </row>
    <row r="16" spans="1:8" ht="18.75" x14ac:dyDescent="0.25">
      <c r="A16" s="14">
        <f t="shared" si="0"/>
        <v>15</v>
      </c>
      <c r="B16" s="15" t="s">
        <v>163</v>
      </c>
      <c r="C16" s="16"/>
      <c r="D16" s="21"/>
      <c r="E16" s="17"/>
      <c r="F16" s="44"/>
      <c r="G16" s="19"/>
      <c r="H16" s="20"/>
    </row>
    <row r="17" spans="1:8" ht="18.75" x14ac:dyDescent="0.25">
      <c r="A17" s="14">
        <f t="shared" si="0"/>
        <v>16</v>
      </c>
      <c r="B17" s="15"/>
      <c r="C17" s="16" t="s">
        <v>78</v>
      </c>
      <c r="D17" s="16"/>
      <c r="E17" s="17" t="s">
        <v>89</v>
      </c>
      <c r="F17" s="44"/>
      <c r="G17" s="19"/>
      <c r="H17" s="20"/>
    </row>
    <row r="18" spans="1:8" ht="18.75" x14ac:dyDescent="0.25">
      <c r="A18" s="14">
        <f t="shared" si="0"/>
        <v>17</v>
      </c>
      <c r="B18" s="18"/>
      <c r="C18" s="16" t="s">
        <v>79</v>
      </c>
      <c r="D18" s="16"/>
      <c r="E18" s="17" t="s">
        <v>89</v>
      </c>
      <c r="F18" s="44"/>
      <c r="G18" s="19"/>
      <c r="H18" s="20"/>
    </row>
    <row r="19" spans="1:8" ht="18.75" x14ac:dyDescent="0.25">
      <c r="A19" s="14">
        <f t="shared" si="0"/>
        <v>18</v>
      </c>
      <c r="B19" s="18"/>
      <c r="C19" s="16" t="s">
        <v>83</v>
      </c>
      <c r="D19" s="16"/>
      <c r="E19" s="17" t="s">
        <v>92</v>
      </c>
      <c r="F19" s="44"/>
      <c r="G19" s="19"/>
      <c r="H19" s="20"/>
    </row>
    <row r="20" spans="1:8" ht="18.75" x14ac:dyDescent="0.25">
      <c r="A20" s="14">
        <f t="shared" si="0"/>
        <v>19</v>
      </c>
      <c r="B20" s="18"/>
      <c r="C20" s="16" t="s">
        <v>1</v>
      </c>
      <c r="D20" s="16"/>
      <c r="E20" s="17" t="s">
        <v>90</v>
      </c>
      <c r="F20" s="44"/>
      <c r="G20" s="19"/>
      <c r="H20" s="20"/>
    </row>
    <row r="21" spans="1:8" ht="18.75" x14ac:dyDescent="0.25">
      <c r="A21" s="14">
        <f t="shared" si="0"/>
        <v>20</v>
      </c>
      <c r="B21" s="18"/>
      <c r="C21" s="16" t="s">
        <v>85</v>
      </c>
      <c r="D21" s="16"/>
      <c r="E21" s="17" t="s">
        <v>90</v>
      </c>
      <c r="F21" s="44"/>
      <c r="G21" s="19"/>
      <c r="H21" s="20"/>
    </row>
    <row r="22" spans="1:8" ht="18.75" x14ac:dyDescent="0.25">
      <c r="A22" s="14">
        <f t="shared" si="0"/>
        <v>21</v>
      </c>
      <c r="B22" s="18"/>
      <c r="C22" s="16" t="s">
        <v>86</v>
      </c>
      <c r="D22" s="16"/>
      <c r="E22" s="17" t="s">
        <v>90</v>
      </c>
      <c r="F22" s="44"/>
      <c r="G22" s="19"/>
      <c r="H22" s="20"/>
    </row>
    <row r="23" spans="1:8" ht="18.75" x14ac:dyDescent="0.25">
      <c r="A23" s="14">
        <f t="shared" si="0"/>
        <v>22</v>
      </c>
      <c r="B23" s="18"/>
      <c r="C23" s="16" t="s">
        <v>87</v>
      </c>
      <c r="D23" s="16"/>
      <c r="E23" s="17" t="s">
        <v>90</v>
      </c>
      <c r="F23" s="44"/>
      <c r="G23" s="19"/>
      <c r="H23" s="20"/>
    </row>
    <row r="24" spans="1:8" ht="18.75" x14ac:dyDescent="0.25">
      <c r="A24" s="14">
        <f t="shared" si="0"/>
        <v>23</v>
      </c>
      <c r="B24" s="18"/>
      <c r="C24" s="16" t="s">
        <v>97</v>
      </c>
      <c r="D24" s="16"/>
      <c r="E24" s="17" t="s">
        <v>91</v>
      </c>
      <c r="F24" s="44"/>
      <c r="G24" s="19"/>
      <c r="H24" s="20"/>
    </row>
    <row r="25" spans="1:8" ht="18.75" x14ac:dyDescent="0.25">
      <c r="A25" s="14">
        <f t="shared" si="0"/>
        <v>24</v>
      </c>
      <c r="B25" s="18"/>
      <c r="C25" s="16" t="s">
        <v>98</v>
      </c>
      <c r="D25" s="16"/>
      <c r="E25" s="17" t="s">
        <v>91</v>
      </c>
      <c r="F25" s="44"/>
      <c r="G25" s="19"/>
      <c r="H25" s="20"/>
    </row>
    <row r="26" spans="1:8" ht="18.75" x14ac:dyDescent="0.25">
      <c r="A26" s="14">
        <f t="shared" si="0"/>
        <v>25</v>
      </c>
      <c r="B26" s="18"/>
      <c r="C26" s="16"/>
      <c r="D26" s="16" t="s">
        <v>124</v>
      </c>
      <c r="E26" s="17" t="s">
        <v>89</v>
      </c>
      <c r="F26" s="44"/>
      <c r="G26" s="19"/>
      <c r="H26" s="20"/>
    </row>
    <row r="27" spans="1:8" ht="18.75" x14ac:dyDescent="0.25">
      <c r="A27" s="14">
        <f t="shared" si="0"/>
        <v>26</v>
      </c>
      <c r="B27" s="18"/>
      <c r="C27" s="16"/>
      <c r="D27" s="16" t="s">
        <v>125</v>
      </c>
      <c r="E27" s="17" t="s">
        <v>90</v>
      </c>
      <c r="F27" s="44"/>
      <c r="G27" s="19"/>
      <c r="H27" s="20"/>
    </row>
    <row r="28" spans="1:8" ht="18.75" x14ac:dyDescent="0.25">
      <c r="A28" s="14">
        <f t="shared" si="0"/>
        <v>27</v>
      </c>
      <c r="B28" s="15" t="s">
        <v>5</v>
      </c>
      <c r="C28" s="16"/>
      <c r="D28" s="16"/>
      <c r="E28" s="17"/>
      <c r="F28" s="44"/>
      <c r="G28" s="19"/>
      <c r="H28" s="20"/>
    </row>
    <row r="29" spans="1:8" ht="18.75" x14ac:dyDescent="0.25">
      <c r="A29" s="14">
        <f t="shared" si="0"/>
        <v>28</v>
      </c>
      <c r="B29" s="15"/>
      <c r="C29" s="16" t="s">
        <v>102</v>
      </c>
      <c r="D29" s="16"/>
      <c r="E29" s="17" t="s">
        <v>91</v>
      </c>
      <c r="F29" s="44"/>
      <c r="G29" s="19"/>
      <c r="H29" s="20"/>
    </row>
    <row r="30" spans="1:8" ht="18.75" x14ac:dyDescent="0.25">
      <c r="A30" s="14">
        <f t="shared" si="0"/>
        <v>29</v>
      </c>
      <c r="B30" s="15"/>
      <c r="C30" s="16" t="s">
        <v>15</v>
      </c>
      <c r="D30" s="16"/>
      <c r="E30" s="17" t="s">
        <v>91</v>
      </c>
      <c r="F30" s="44"/>
      <c r="G30" s="19"/>
      <c r="H30" s="20"/>
    </row>
    <row r="31" spans="1:8" ht="18.75" x14ac:dyDescent="0.25">
      <c r="A31" s="14">
        <f t="shared" si="0"/>
        <v>30</v>
      </c>
      <c r="B31" s="15"/>
      <c r="C31" s="16" t="s">
        <v>20</v>
      </c>
      <c r="D31" s="16"/>
      <c r="E31" s="17" t="s">
        <v>91</v>
      </c>
      <c r="F31" s="44"/>
      <c r="G31" s="19"/>
      <c r="H31" s="20"/>
    </row>
    <row r="32" spans="1:8" ht="18.75" x14ac:dyDescent="0.25">
      <c r="A32" s="14">
        <f t="shared" si="0"/>
        <v>31</v>
      </c>
      <c r="B32" s="15"/>
      <c r="C32" s="16" t="s">
        <v>59</v>
      </c>
      <c r="D32" s="16"/>
      <c r="E32" s="17" t="s">
        <v>91</v>
      </c>
      <c r="F32" s="44"/>
      <c r="G32" s="19"/>
      <c r="H32" s="20"/>
    </row>
    <row r="33" spans="1:8" ht="18.75" x14ac:dyDescent="0.25">
      <c r="A33" s="14">
        <f t="shared" si="0"/>
        <v>32</v>
      </c>
      <c r="B33" s="15"/>
      <c r="C33" s="16" t="s">
        <v>21</v>
      </c>
      <c r="D33" s="16"/>
      <c r="E33" s="17" t="s">
        <v>91</v>
      </c>
      <c r="F33" s="44"/>
      <c r="G33" s="19"/>
      <c r="H33" s="20"/>
    </row>
    <row r="34" spans="1:8" ht="18.75" x14ac:dyDescent="0.25">
      <c r="A34" s="14">
        <f t="shared" si="0"/>
        <v>33</v>
      </c>
      <c r="B34" s="15"/>
      <c r="C34" s="16" t="s">
        <v>22</v>
      </c>
      <c r="D34" s="16"/>
      <c r="E34" s="17" t="s">
        <v>91</v>
      </c>
      <c r="F34" s="44"/>
      <c r="G34" s="19"/>
      <c r="H34" s="20"/>
    </row>
    <row r="35" spans="1:8" ht="18.75" x14ac:dyDescent="0.25">
      <c r="A35" s="14">
        <f t="shared" si="0"/>
        <v>34</v>
      </c>
      <c r="B35" s="15"/>
      <c r="C35" s="16" t="s">
        <v>24</v>
      </c>
      <c r="D35" s="16"/>
      <c r="E35" s="17" t="s">
        <v>91</v>
      </c>
      <c r="F35" s="44"/>
      <c r="G35" s="19"/>
      <c r="H35" s="20"/>
    </row>
    <row r="36" spans="1:8" ht="18.75" x14ac:dyDescent="0.25">
      <c r="A36" s="14">
        <f t="shared" si="0"/>
        <v>35</v>
      </c>
      <c r="B36" s="15"/>
      <c r="C36" s="16" t="s">
        <v>25</v>
      </c>
      <c r="D36" s="16"/>
      <c r="E36" s="17" t="s">
        <v>91</v>
      </c>
      <c r="F36" s="44"/>
      <c r="G36" s="19"/>
      <c r="H36" s="20"/>
    </row>
    <row r="37" spans="1:8" ht="18.75" x14ac:dyDescent="0.25">
      <c r="A37" s="14">
        <f t="shared" si="0"/>
        <v>36</v>
      </c>
      <c r="B37" s="15"/>
      <c r="C37" s="16" t="s">
        <v>26</v>
      </c>
      <c r="D37" s="16"/>
      <c r="E37" s="17" t="s">
        <v>91</v>
      </c>
      <c r="F37" s="44"/>
      <c r="G37" s="19"/>
      <c r="H37" s="20"/>
    </row>
    <row r="38" spans="1:8" ht="18.75" x14ac:dyDescent="0.25">
      <c r="A38" s="14">
        <f t="shared" si="0"/>
        <v>37</v>
      </c>
      <c r="B38" s="15"/>
      <c r="C38" s="16" t="s">
        <v>103</v>
      </c>
      <c r="D38" s="16"/>
      <c r="E38" s="17" t="s">
        <v>91</v>
      </c>
      <c r="F38" s="44"/>
      <c r="G38" s="19"/>
      <c r="H38" s="20"/>
    </row>
    <row r="39" spans="1:8" ht="18.75" x14ac:dyDescent="0.25">
      <c r="A39" s="14">
        <f t="shared" si="0"/>
        <v>38</v>
      </c>
      <c r="B39" s="15" t="s">
        <v>252</v>
      </c>
      <c r="C39" s="16"/>
      <c r="D39" s="16"/>
      <c r="E39" s="17"/>
      <c r="F39" s="44"/>
      <c r="G39" s="19"/>
      <c r="H39" s="20"/>
    </row>
    <row r="40" spans="1:8" ht="18.75" x14ac:dyDescent="0.25">
      <c r="A40" s="14">
        <f t="shared" si="0"/>
        <v>39</v>
      </c>
      <c r="B40" s="15"/>
      <c r="C40" s="16" t="s">
        <v>14</v>
      </c>
      <c r="D40" s="16"/>
      <c r="E40" s="17" t="s">
        <v>158</v>
      </c>
      <c r="F40" s="44"/>
      <c r="G40" s="19"/>
      <c r="H40" s="20"/>
    </row>
    <row r="41" spans="1:8" ht="18.75" x14ac:dyDescent="0.25">
      <c r="A41" s="14">
        <f t="shared" si="0"/>
        <v>40</v>
      </c>
      <c r="B41" s="15"/>
      <c r="C41" s="16" t="s">
        <v>9</v>
      </c>
      <c r="D41" s="16"/>
      <c r="E41" s="17" t="s">
        <v>158</v>
      </c>
      <c r="F41" s="44"/>
      <c r="G41" s="19"/>
      <c r="H41" s="20"/>
    </row>
    <row r="42" spans="1:8" ht="18.75" x14ac:dyDescent="0.25">
      <c r="A42" s="14">
        <f t="shared" si="0"/>
        <v>41</v>
      </c>
      <c r="B42" s="15" t="s">
        <v>206</v>
      </c>
      <c r="C42" s="16"/>
      <c r="D42" s="16"/>
      <c r="E42" s="17"/>
      <c r="F42" s="44"/>
      <c r="G42" s="19"/>
      <c r="H42" s="20"/>
    </row>
    <row r="43" spans="1:8" ht="18.75" x14ac:dyDescent="0.25">
      <c r="A43" s="14">
        <f t="shared" si="0"/>
        <v>42</v>
      </c>
      <c r="B43" s="15"/>
      <c r="C43" s="16" t="s">
        <v>15</v>
      </c>
      <c r="D43" s="16"/>
      <c r="E43" s="17" t="s">
        <v>90</v>
      </c>
      <c r="F43" s="44"/>
      <c r="G43" s="19"/>
      <c r="H43" s="20"/>
    </row>
    <row r="44" spans="1:8" ht="18.75" x14ac:dyDescent="0.25">
      <c r="A44" s="14">
        <f t="shared" si="0"/>
        <v>43</v>
      </c>
      <c r="B44" s="15"/>
      <c r="C44" s="16" t="s">
        <v>20</v>
      </c>
      <c r="D44" s="16"/>
      <c r="E44" s="17" t="s">
        <v>90</v>
      </c>
      <c r="F44" s="44"/>
      <c r="G44" s="19"/>
      <c r="H44" s="20"/>
    </row>
    <row r="45" spans="1:8" ht="18.75" x14ac:dyDescent="0.25">
      <c r="A45" s="14">
        <f t="shared" si="0"/>
        <v>44</v>
      </c>
      <c r="B45" s="15"/>
      <c r="C45" s="16" t="s">
        <v>104</v>
      </c>
      <c r="D45" s="16"/>
      <c r="E45" s="17" t="s">
        <v>90</v>
      </c>
      <c r="F45" s="44"/>
      <c r="G45" s="19"/>
      <c r="H45" s="20"/>
    </row>
    <row r="46" spans="1:8" ht="18.75" x14ac:dyDescent="0.25">
      <c r="A46" s="14">
        <f t="shared" si="0"/>
        <v>45</v>
      </c>
      <c r="B46" s="15"/>
      <c r="C46" s="16" t="s">
        <v>105</v>
      </c>
      <c r="D46" s="16"/>
      <c r="E46" s="17" t="s">
        <v>90</v>
      </c>
      <c r="F46" s="44"/>
      <c r="G46" s="19"/>
      <c r="H46" s="20"/>
    </row>
    <row r="47" spans="1:8" ht="18.75" x14ac:dyDescent="0.25">
      <c r="A47" s="14">
        <f t="shared" si="0"/>
        <v>46</v>
      </c>
      <c r="B47" s="15"/>
      <c r="C47" s="16" t="s">
        <v>106</v>
      </c>
      <c r="D47" s="16"/>
      <c r="E47" s="17" t="s">
        <v>89</v>
      </c>
      <c r="F47" s="44"/>
      <c r="G47" s="19"/>
      <c r="H47" s="20"/>
    </row>
    <row r="48" spans="1:8" ht="18.75" x14ac:dyDescent="0.25">
      <c r="A48" s="14">
        <f t="shared" si="0"/>
        <v>47</v>
      </c>
      <c r="B48" s="15"/>
      <c r="C48" s="16" t="s">
        <v>107</v>
      </c>
      <c r="D48" s="16"/>
      <c r="E48" s="17" t="s">
        <v>89</v>
      </c>
      <c r="F48" s="44"/>
      <c r="G48" s="19"/>
      <c r="H48" s="20"/>
    </row>
    <row r="49" spans="1:8" ht="18.75" x14ac:dyDescent="0.25">
      <c r="A49" s="14">
        <f t="shared" si="0"/>
        <v>48</v>
      </c>
      <c r="B49" s="15"/>
      <c r="C49" s="16" t="s">
        <v>108</v>
      </c>
      <c r="D49" s="16"/>
      <c r="E49" s="17" t="s">
        <v>89</v>
      </c>
      <c r="F49" s="44"/>
      <c r="G49" s="19"/>
      <c r="H49" s="20"/>
    </row>
    <row r="50" spans="1:8" ht="18.75" x14ac:dyDescent="0.25">
      <c r="A50" s="14">
        <f t="shared" si="0"/>
        <v>49</v>
      </c>
      <c r="B50" s="15"/>
      <c r="C50" s="16" t="s">
        <v>109</v>
      </c>
      <c r="D50" s="16"/>
      <c r="E50" s="17" t="s">
        <v>89</v>
      </c>
      <c r="F50" s="44"/>
      <c r="G50" s="19"/>
      <c r="H50" s="20"/>
    </row>
    <row r="51" spans="1:8" ht="18.75" x14ac:dyDescent="0.25">
      <c r="A51" s="14">
        <f t="shared" si="0"/>
        <v>50</v>
      </c>
      <c r="B51" s="15"/>
      <c r="C51" s="16" t="s">
        <v>110</v>
      </c>
      <c r="D51" s="16"/>
      <c r="E51" s="17" t="s">
        <v>89</v>
      </c>
      <c r="F51" s="44"/>
      <c r="G51" s="19"/>
      <c r="H51" s="20"/>
    </row>
    <row r="52" spans="1:8" ht="18.75" x14ac:dyDescent="0.25">
      <c r="A52" s="14">
        <f t="shared" si="0"/>
        <v>51</v>
      </c>
      <c r="B52" s="15"/>
      <c r="C52" s="16" t="s">
        <v>115</v>
      </c>
      <c r="D52" s="16"/>
      <c r="E52" s="17" t="s">
        <v>90</v>
      </c>
      <c r="F52" s="44"/>
      <c r="G52" s="19"/>
      <c r="H52" s="20"/>
    </row>
    <row r="53" spans="1:8" ht="18.75" x14ac:dyDescent="0.25">
      <c r="A53" s="14">
        <f t="shared" si="0"/>
        <v>52</v>
      </c>
      <c r="B53" s="15"/>
      <c r="C53" s="16" t="s">
        <v>111</v>
      </c>
      <c r="D53" s="16"/>
      <c r="E53" s="17" t="s">
        <v>116</v>
      </c>
      <c r="F53" s="44"/>
      <c r="G53" s="19"/>
      <c r="H53" s="20"/>
    </row>
    <row r="54" spans="1:8" ht="18.75" x14ac:dyDescent="0.25">
      <c r="A54" s="14">
        <f t="shared" si="0"/>
        <v>53</v>
      </c>
      <c r="B54" s="15"/>
      <c r="C54" s="16"/>
      <c r="D54" s="16" t="s">
        <v>126</v>
      </c>
      <c r="E54" s="17" t="s">
        <v>90</v>
      </c>
      <c r="F54" s="44"/>
      <c r="G54" s="19"/>
      <c r="H54" s="20"/>
    </row>
    <row r="55" spans="1:8" ht="18.75" x14ac:dyDescent="0.25">
      <c r="A55" s="14">
        <f t="shared" si="0"/>
        <v>54</v>
      </c>
      <c r="B55" s="15"/>
      <c r="C55" s="16"/>
      <c r="D55" s="16" t="s">
        <v>127</v>
      </c>
      <c r="E55" s="17" t="s">
        <v>90</v>
      </c>
      <c r="F55" s="44"/>
      <c r="G55" s="19"/>
      <c r="H55" s="20"/>
    </row>
    <row r="56" spans="1:8" ht="18.75" x14ac:dyDescent="0.25">
      <c r="A56" s="14">
        <f t="shared" si="0"/>
        <v>55</v>
      </c>
      <c r="B56" s="15"/>
      <c r="C56" s="16" t="s">
        <v>7</v>
      </c>
      <c r="D56" s="16"/>
      <c r="E56" s="17" t="s">
        <v>91</v>
      </c>
      <c r="F56" s="44"/>
      <c r="G56" s="19"/>
      <c r="H56" s="20"/>
    </row>
    <row r="57" spans="1:8" ht="18.75" x14ac:dyDescent="0.25">
      <c r="A57" s="14">
        <f t="shared" si="0"/>
        <v>56</v>
      </c>
      <c r="B57" s="15"/>
      <c r="C57" s="16" t="s">
        <v>112</v>
      </c>
      <c r="D57" s="16"/>
      <c r="E57" s="17" t="s">
        <v>89</v>
      </c>
      <c r="F57" s="44"/>
      <c r="G57" s="19"/>
      <c r="H57" s="20"/>
    </row>
    <row r="58" spans="1:8" ht="18.75" x14ac:dyDescent="0.25">
      <c r="A58" s="14">
        <f t="shared" si="0"/>
        <v>57</v>
      </c>
      <c r="B58" s="15"/>
      <c r="C58" s="16" t="s">
        <v>113</v>
      </c>
      <c r="D58" s="16"/>
      <c r="E58" s="17" t="s">
        <v>117</v>
      </c>
      <c r="F58" s="44"/>
      <c r="G58" s="19"/>
      <c r="H58" s="20"/>
    </row>
    <row r="59" spans="1:8" ht="18.75" x14ac:dyDescent="0.25">
      <c r="A59" s="14">
        <f t="shared" si="0"/>
        <v>58</v>
      </c>
      <c r="B59" s="15"/>
      <c r="C59" s="16" t="s">
        <v>128</v>
      </c>
      <c r="D59" s="16"/>
      <c r="E59" s="17" t="s">
        <v>101</v>
      </c>
      <c r="F59" s="44"/>
      <c r="G59" s="19"/>
      <c r="H59" s="20"/>
    </row>
    <row r="60" spans="1:8" ht="18.75" x14ac:dyDescent="0.25">
      <c r="A60" s="14">
        <f t="shared" si="0"/>
        <v>59</v>
      </c>
      <c r="B60" s="15"/>
      <c r="C60" s="16"/>
      <c r="D60" s="16" t="s">
        <v>53</v>
      </c>
      <c r="E60" s="17" t="s">
        <v>118</v>
      </c>
      <c r="F60" s="44"/>
      <c r="G60" s="19"/>
      <c r="H60" s="20"/>
    </row>
    <row r="61" spans="1:8" ht="18.75" x14ac:dyDescent="0.25">
      <c r="A61" s="14">
        <f t="shared" si="0"/>
        <v>60</v>
      </c>
      <c r="B61" s="15"/>
      <c r="C61" s="16"/>
      <c r="D61" s="16" t="s">
        <v>129</v>
      </c>
      <c r="E61" s="17" t="s">
        <v>119</v>
      </c>
      <c r="F61" s="44"/>
      <c r="G61" s="19"/>
      <c r="H61" s="20"/>
    </row>
    <row r="62" spans="1:8" ht="18.75" x14ac:dyDescent="0.25">
      <c r="A62" s="14">
        <f t="shared" si="0"/>
        <v>61</v>
      </c>
      <c r="B62" s="15"/>
      <c r="C62" s="16" t="s">
        <v>130</v>
      </c>
      <c r="D62" s="16"/>
      <c r="E62" s="17" t="s">
        <v>101</v>
      </c>
      <c r="F62" s="44"/>
      <c r="G62" s="19"/>
      <c r="H62" s="20"/>
    </row>
    <row r="63" spans="1:8" ht="18.75" x14ac:dyDescent="0.25">
      <c r="A63" s="14">
        <f t="shared" si="0"/>
        <v>62</v>
      </c>
      <c r="B63" s="15"/>
      <c r="C63" s="16"/>
      <c r="D63" s="16" t="s">
        <v>131</v>
      </c>
      <c r="E63" s="17" t="s">
        <v>90</v>
      </c>
      <c r="F63" s="44"/>
      <c r="G63" s="19"/>
      <c r="H63" s="20"/>
    </row>
    <row r="64" spans="1:8" ht="18.75" x14ac:dyDescent="0.25">
      <c r="A64" s="14">
        <f t="shared" si="0"/>
        <v>63</v>
      </c>
      <c r="B64" s="15"/>
      <c r="C64" s="16"/>
      <c r="D64" s="16" t="s">
        <v>132</v>
      </c>
      <c r="E64" s="17" t="s">
        <v>90</v>
      </c>
      <c r="F64" s="44"/>
      <c r="G64" s="19"/>
      <c r="H64" s="20"/>
    </row>
    <row r="65" spans="1:8" ht="18.75" x14ac:dyDescent="0.25">
      <c r="A65" s="14">
        <f t="shared" si="0"/>
        <v>64</v>
      </c>
      <c r="B65" s="15"/>
      <c r="C65" s="16"/>
      <c r="D65" s="16" t="s">
        <v>133</v>
      </c>
      <c r="E65" s="17" t="s">
        <v>90</v>
      </c>
      <c r="F65" s="44"/>
      <c r="G65" s="19"/>
      <c r="H65" s="20"/>
    </row>
    <row r="66" spans="1:8" ht="18.75" x14ac:dyDescent="0.25">
      <c r="A66" s="14">
        <f t="shared" si="0"/>
        <v>65</v>
      </c>
      <c r="B66" s="15"/>
      <c r="C66" s="16"/>
      <c r="D66" s="16" t="s">
        <v>134</v>
      </c>
      <c r="E66" s="17" t="s">
        <v>120</v>
      </c>
      <c r="F66" s="44"/>
      <c r="G66" s="19"/>
      <c r="H66" s="20"/>
    </row>
    <row r="67" spans="1:8" ht="18.75" x14ac:dyDescent="0.25">
      <c r="A67" s="14">
        <f t="shared" si="0"/>
        <v>66</v>
      </c>
      <c r="B67" s="15"/>
      <c r="C67" s="16" t="s">
        <v>136</v>
      </c>
      <c r="D67" s="16"/>
      <c r="E67" s="17" t="s">
        <v>101</v>
      </c>
      <c r="F67" s="44"/>
      <c r="G67" s="19"/>
      <c r="H67" s="20"/>
    </row>
    <row r="68" spans="1:8" ht="18.75" x14ac:dyDescent="0.25">
      <c r="A68" s="14">
        <f t="shared" ref="A68:A131" si="1">+A67+1</f>
        <v>67</v>
      </c>
      <c r="B68" s="15"/>
      <c r="C68" s="16"/>
      <c r="D68" s="16" t="s">
        <v>131</v>
      </c>
      <c r="E68" s="17" t="s">
        <v>90</v>
      </c>
      <c r="F68" s="44"/>
      <c r="G68" s="19"/>
      <c r="H68" s="20"/>
    </row>
    <row r="69" spans="1:8" ht="18.75" x14ac:dyDescent="0.25">
      <c r="A69" s="14">
        <f t="shared" si="1"/>
        <v>68</v>
      </c>
      <c r="B69" s="15"/>
      <c r="C69" s="16"/>
      <c r="D69" s="16" t="s">
        <v>135</v>
      </c>
      <c r="E69" s="17" t="s">
        <v>90</v>
      </c>
      <c r="F69" s="44"/>
      <c r="G69" s="19"/>
      <c r="H69" s="20"/>
    </row>
    <row r="70" spans="1:8" ht="18.75" x14ac:dyDescent="0.25">
      <c r="A70" s="14">
        <f t="shared" si="1"/>
        <v>69</v>
      </c>
      <c r="B70" s="15"/>
      <c r="C70" s="16" t="s">
        <v>137</v>
      </c>
      <c r="D70" s="16"/>
      <c r="E70" s="17" t="s">
        <v>101</v>
      </c>
      <c r="F70" s="44"/>
      <c r="G70" s="19"/>
      <c r="H70" s="20"/>
    </row>
    <row r="71" spans="1:8" ht="18.75" x14ac:dyDescent="0.25">
      <c r="A71" s="14">
        <f t="shared" si="1"/>
        <v>70</v>
      </c>
      <c r="B71" s="15"/>
      <c r="C71" s="16"/>
      <c r="D71" s="16" t="s">
        <v>138</v>
      </c>
      <c r="E71" s="17" t="s">
        <v>90</v>
      </c>
      <c r="F71" s="44"/>
      <c r="G71" s="19"/>
      <c r="H71" s="20"/>
    </row>
    <row r="72" spans="1:8" ht="18.75" x14ac:dyDescent="0.25">
      <c r="A72" s="14">
        <f t="shared" si="1"/>
        <v>71</v>
      </c>
      <c r="B72" s="15"/>
      <c r="C72" s="16"/>
      <c r="D72" s="16" t="s">
        <v>132</v>
      </c>
      <c r="E72" s="17" t="s">
        <v>90</v>
      </c>
      <c r="F72" s="44"/>
      <c r="G72" s="19"/>
      <c r="H72" s="20"/>
    </row>
    <row r="73" spans="1:8" ht="18.75" x14ac:dyDescent="0.25">
      <c r="A73" s="14">
        <f t="shared" si="1"/>
        <v>72</v>
      </c>
      <c r="B73" s="15"/>
      <c r="C73" s="16"/>
      <c r="D73" s="16" t="s">
        <v>139</v>
      </c>
      <c r="E73" s="17" t="s">
        <v>90</v>
      </c>
      <c r="F73" s="44"/>
      <c r="G73" s="19"/>
      <c r="H73" s="20"/>
    </row>
    <row r="74" spans="1:8" ht="18.75" x14ac:dyDescent="0.25">
      <c r="A74" s="14">
        <f t="shared" si="1"/>
        <v>73</v>
      </c>
      <c r="B74" s="15"/>
      <c r="C74" s="16"/>
      <c r="D74" s="16" t="s">
        <v>140</v>
      </c>
      <c r="E74" s="17" t="s">
        <v>90</v>
      </c>
      <c r="F74" s="44"/>
      <c r="G74" s="19"/>
      <c r="H74" s="20"/>
    </row>
    <row r="75" spans="1:8" ht="18.75" x14ac:dyDescent="0.25">
      <c r="A75" s="14">
        <f t="shared" si="1"/>
        <v>74</v>
      </c>
      <c r="B75" s="15"/>
      <c r="C75" s="16"/>
      <c r="D75" s="16" t="s">
        <v>141</v>
      </c>
      <c r="E75" s="17" t="s">
        <v>90</v>
      </c>
      <c r="F75" s="44"/>
      <c r="G75" s="19"/>
      <c r="H75" s="20"/>
    </row>
    <row r="76" spans="1:8" ht="18.75" x14ac:dyDescent="0.25">
      <c r="A76" s="14">
        <f t="shared" si="1"/>
        <v>75</v>
      </c>
      <c r="B76" s="15"/>
      <c r="C76" s="16"/>
      <c r="D76" s="16" t="s">
        <v>142</v>
      </c>
      <c r="E76" s="17" t="s">
        <v>120</v>
      </c>
      <c r="F76" s="44"/>
      <c r="G76" s="19"/>
      <c r="H76" s="20"/>
    </row>
    <row r="77" spans="1:8" ht="18.75" x14ac:dyDescent="0.25">
      <c r="A77" s="14">
        <f t="shared" si="1"/>
        <v>76</v>
      </c>
      <c r="B77" s="15"/>
      <c r="C77" s="16" t="s">
        <v>114</v>
      </c>
      <c r="D77" s="16"/>
      <c r="E77" s="17" t="s">
        <v>89</v>
      </c>
      <c r="F77" s="44"/>
      <c r="G77" s="19"/>
      <c r="H77" s="20"/>
    </row>
    <row r="78" spans="1:8" ht="18.75" x14ac:dyDescent="0.25">
      <c r="A78" s="14">
        <f t="shared" si="1"/>
        <v>77</v>
      </c>
      <c r="B78" s="15"/>
      <c r="C78" s="16" t="s">
        <v>14</v>
      </c>
      <c r="D78" s="16"/>
      <c r="E78" s="17" t="s">
        <v>158</v>
      </c>
      <c r="F78" s="44"/>
      <c r="G78" s="19"/>
      <c r="H78" s="20"/>
    </row>
    <row r="79" spans="1:8" ht="18.75" x14ac:dyDescent="0.25">
      <c r="A79" s="14">
        <f t="shared" si="1"/>
        <v>78</v>
      </c>
      <c r="B79" s="15"/>
      <c r="C79" s="16" t="s">
        <v>9</v>
      </c>
      <c r="D79" s="16"/>
      <c r="E79" s="17" t="s">
        <v>158</v>
      </c>
      <c r="F79" s="44"/>
      <c r="G79" s="19"/>
      <c r="H79" s="20"/>
    </row>
    <row r="80" spans="1:8" ht="18.75" x14ac:dyDescent="0.25">
      <c r="A80" s="14">
        <f t="shared" si="1"/>
        <v>79</v>
      </c>
      <c r="B80" s="15" t="s">
        <v>164</v>
      </c>
      <c r="C80" s="16"/>
      <c r="D80" s="16"/>
      <c r="E80" s="17"/>
      <c r="F80" s="44"/>
      <c r="G80" s="19"/>
      <c r="H80" s="20"/>
    </row>
    <row r="81" spans="1:8" ht="18.75" x14ac:dyDescent="0.25">
      <c r="A81" s="14">
        <f t="shared" si="1"/>
        <v>80</v>
      </c>
      <c r="B81" s="15"/>
      <c r="C81" s="16" t="s">
        <v>151</v>
      </c>
      <c r="D81" s="16"/>
      <c r="E81" s="17" t="s">
        <v>90</v>
      </c>
      <c r="F81" s="44"/>
      <c r="G81" s="19"/>
      <c r="H81" s="20"/>
    </row>
    <row r="82" spans="1:8" ht="18.75" x14ac:dyDescent="0.25">
      <c r="A82" s="14">
        <f t="shared" si="1"/>
        <v>81</v>
      </c>
      <c r="B82" s="15"/>
      <c r="C82" s="16" t="s">
        <v>101</v>
      </c>
      <c r="D82" s="16"/>
      <c r="E82" s="17" t="s">
        <v>150</v>
      </c>
      <c r="F82" s="44"/>
      <c r="G82" s="19"/>
      <c r="H82" s="20"/>
    </row>
    <row r="83" spans="1:8" ht="18.75" x14ac:dyDescent="0.25">
      <c r="A83" s="14">
        <f t="shared" si="1"/>
        <v>82</v>
      </c>
      <c r="B83" s="15"/>
      <c r="C83" s="16" t="s">
        <v>53</v>
      </c>
      <c r="D83" s="16"/>
      <c r="E83" s="17" t="s">
        <v>150</v>
      </c>
      <c r="F83" s="44"/>
      <c r="G83" s="19"/>
      <c r="H83" s="20"/>
    </row>
    <row r="84" spans="1:8" ht="18.75" x14ac:dyDescent="0.25">
      <c r="A84" s="14">
        <f t="shared" si="1"/>
        <v>83</v>
      </c>
      <c r="B84" s="15"/>
      <c r="C84" s="16" t="s">
        <v>129</v>
      </c>
      <c r="D84" s="16"/>
      <c r="E84" s="17" t="s">
        <v>150</v>
      </c>
      <c r="F84" s="44"/>
      <c r="G84" s="19"/>
      <c r="H84" s="20"/>
    </row>
    <row r="85" spans="1:8" ht="18.75" x14ac:dyDescent="0.25">
      <c r="A85" s="14">
        <f t="shared" si="1"/>
        <v>84</v>
      </c>
      <c r="B85" s="15"/>
      <c r="C85" s="16" t="s">
        <v>143</v>
      </c>
      <c r="D85" s="16"/>
      <c r="E85" s="17" t="s">
        <v>150</v>
      </c>
      <c r="F85" s="44"/>
      <c r="G85" s="19"/>
      <c r="H85" s="20"/>
    </row>
    <row r="86" spans="1:8" ht="18.75" x14ac:dyDescent="0.25">
      <c r="A86" s="14">
        <f t="shared" si="1"/>
        <v>85</v>
      </c>
      <c r="B86" s="15"/>
      <c r="C86" s="16" t="s">
        <v>144</v>
      </c>
      <c r="D86" s="16"/>
      <c r="E86" s="17" t="s">
        <v>150</v>
      </c>
      <c r="F86" s="44"/>
      <c r="G86" s="19"/>
      <c r="H86" s="20"/>
    </row>
    <row r="87" spans="1:8" ht="18.75" x14ac:dyDescent="0.25">
      <c r="A87" s="14">
        <f t="shared" si="1"/>
        <v>86</v>
      </c>
      <c r="B87" s="15"/>
      <c r="C87" s="16" t="s">
        <v>145</v>
      </c>
      <c r="D87" s="16"/>
      <c r="E87" s="17" t="s">
        <v>150</v>
      </c>
      <c r="F87" s="44"/>
      <c r="G87" s="19"/>
      <c r="H87" s="20"/>
    </row>
    <row r="88" spans="1:8" ht="18.75" x14ac:dyDescent="0.25">
      <c r="A88" s="14">
        <f t="shared" si="1"/>
        <v>87</v>
      </c>
      <c r="B88" s="15"/>
      <c r="C88" s="16" t="s">
        <v>120</v>
      </c>
      <c r="D88" s="16"/>
      <c r="E88" s="17" t="s">
        <v>150</v>
      </c>
      <c r="F88" s="44"/>
      <c r="G88" s="19"/>
      <c r="H88" s="20"/>
    </row>
    <row r="89" spans="1:8" ht="18.75" x14ac:dyDescent="0.25">
      <c r="A89" s="14">
        <f t="shared" si="1"/>
        <v>88</v>
      </c>
      <c r="B89" s="15"/>
      <c r="C89" s="16" t="s">
        <v>146</v>
      </c>
      <c r="D89" s="16"/>
      <c r="E89" s="17" t="s">
        <v>150</v>
      </c>
      <c r="F89" s="44"/>
      <c r="G89" s="19"/>
      <c r="H89" s="20"/>
    </row>
    <row r="90" spans="1:8" ht="18.75" x14ac:dyDescent="0.25">
      <c r="A90" s="14">
        <f t="shared" si="1"/>
        <v>89</v>
      </c>
      <c r="B90" s="15"/>
      <c r="C90" s="16" t="s">
        <v>147</v>
      </c>
      <c r="D90" s="16"/>
      <c r="E90" s="17" t="s">
        <v>150</v>
      </c>
      <c r="F90" s="44"/>
      <c r="G90" s="19"/>
      <c r="H90" s="20"/>
    </row>
    <row r="91" spans="1:8" ht="18.75" x14ac:dyDescent="0.25">
      <c r="A91" s="14">
        <f t="shared" si="1"/>
        <v>90</v>
      </c>
      <c r="B91" s="15"/>
      <c r="C91" s="16" t="s">
        <v>148</v>
      </c>
      <c r="D91" s="16"/>
      <c r="E91" s="17" t="s">
        <v>150</v>
      </c>
      <c r="F91" s="44"/>
      <c r="G91" s="19"/>
      <c r="H91" s="20"/>
    </row>
    <row r="92" spans="1:8" ht="18.75" x14ac:dyDescent="0.25">
      <c r="A92" s="14">
        <f t="shared" si="1"/>
        <v>91</v>
      </c>
      <c r="B92" s="15"/>
      <c r="C92" s="16" t="s">
        <v>149</v>
      </c>
      <c r="D92" s="16"/>
      <c r="E92" s="17" t="s">
        <v>150</v>
      </c>
      <c r="F92" s="44"/>
      <c r="G92" s="19"/>
      <c r="H92" s="20"/>
    </row>
    <row r="93" spans="1:8" ht="18.75" x14ac:dyDescent="0.25">
      <c r="A93" s="14">
        <f t="shared" si="1"/>
        <v>92</v>
      </c>
      <c r="B93" s="15"/>
      <c r="C93" s="16" t="s">
        <v>116</v>
      </c>
      <c r="D93" s="16"/>
      <c r="E93" s="17" t="s">
        <v>150</v>
      </c>
      <c r="F93" s="44"/>
      <c r="G93" s="19"/>
      <c r="H93" s="20"/>
    </row>
    <row r="94" spans="1:8" ht="18.75" x14ac:dyDescent="0.25">
      <c r="A94" s="14">
        <f t="shared" si="1"/>
        <v>93</v>
      </c>
      <c r="B94" s="15"/>
      <c r="C94" s="16" t="s">
        <v>152</v>
      </c>
      <c r="D94" s="16"/>
      <c r="E94" s="17" t="s">
        <v>95</v>
      </c>
      <c r="F94" s="44"/>
      <c r="G94" s="19"/>
      <c r="H94" s="20"/>
    </row>
    <row r="95" spans="1:8" ht="18.75" x14ac:dyDescent="0.25">
      <c r="A95" s="14">
        <f t="shared" si="1"/>
        <v>94</v>
      </c>
      <c r="B95" s="15"/>
      <c r="C95" s="16" t="s">
        <v>153</v>
      </c>
      <c r="D95" s="16"/>
      <c r="E95" s="17" t="s">
        <v>95</v>
      </c>
      <c r="F95" s="44"/>
      <c r="G95" s="19"/>
      <c r="H95" s="20"/>
    </row>
    <row r="96" spans="1:8" ht="18.75" x14ac:dyDescent="0.25">
      <c r="A96" s="14">
        <f t="shared" si="1"/>
        <v>95</v>
      </c>
      <c r="B96" s="15"/>
      <c r="C96" s="16" t="s">
        <v>154</v>
      </c>
      <c r="D96" s="16"/>
      <c r="E96" s="17" t="s">
        <v>95</v>
      </c>
      <c r="F96" s="44"/>
      <c r="G96" s="19"/>
      <c r="H96" s="20"/>
    </row>
    <row r="97" spans="1:8" ht="18.75" x14ac:dyDescent="0.25">
      <c r="A97" s="14">
        <f t="shared" si="1"/>
        <v>96</v>
      </c>
      <c r="B97" s="15"/>
      <c r="C97" s="16"/>
      <c r="D97" s="16" t="s">
        <v>339</v>
      </c>
      <c r="E97" s="17" t="s">
        <v>90</v>
      </c>
      <c r="F97" s="44"/>
      <c r="G97" s="19"/>
      <c r="H97" s="20"/>
    </row>
    <row r="98" spans="1:8" ht="18.75" x14ac:dyDescent="0.25">
      <c r="A98" s="14">
        <f t="shared" si="1"/>
        <v>97</v>
      </c>
      <c r="B98" s="15"/>
      <c r="C98" s="16"/>
      <c r="D98" s="16" t="s">
        <v>340</v>
      </c>
      <c r="E98" s="17" t="s">
        <v>90</v>
      </c>
      <c r="F98" s="44"/>
      <c r="G98" s="19"/>
      <c r="H98" s="20"/>
    </row>
    <row r="99" spans="1:8" ht="18.75" x14ac:dyDescent="0.25">
      <c r="A99" s="14">
        <f t="shared" si="1"/>
        <v>98</v>
      </c>
      <c r="B99" s="15"/>
      <c r="C99" s="16" t="s">
        <v>155</v>
      </c>
      <c r="D99" s="16"/>
      <c r="E99" s="17" t="s">
        <v>95</v>
      </c>
      <c r="F99" s="44"/>
      <c r="G99" s="19"/>
      <c r="H99" s="20"/>
    </row>
    <row r="100" spans="1:8" ht="18.75" x14ac:dyDescent="0.25">
      <c r="A100" s="14">
        <f t="shared" si="1"/>
        <v>99</v>
      </c>
      <c r="B100" s="15"/>
      <c r="C100" s="16" t="s">
        <v>156</v>
      </c>
      <c r="D100" s="16"/>
      <c r="E100" s="17" t="s">
        <v>95</v>
      </c>
      <c r="F100" s="44"/>
      <c r="G100" s="19"/>
      <c r="H100" s="20"/>
    </row>
    <row r="101" spans="1:8" ht="18.75" x14ac:dyDescent="0.25">
      <c r="A101" s="14">
        <f t="shared" si="1"/>
        <v>100</v>
      </c>
      <c r="B101" s="15"/>
      <c r="C101" s="16" t="s">
        <v>157</v>
      </c>
      <c r="D101" s="16"/>
      <c r="E101" s="17" t="s">
        <v>150</v>
      </c>
      <c r="F101" s="44"/>
      <c r="G101" s="19"/>
      <c r="H101" s="20"/>
    </row>
    <row r="102" spans="1:8" ht="18.75" x14ac:dyDescent="0.25">
      <c r="A102" s="14">
        <f t="shared" si="1"/>
        <v>101</v>
      </c>
      <c r="B102" s="15" t="s">
        <v>195</v>
      </c>
      <c r="C102" s="16"/>
      <c r="D102" s="16"/>
      <c r="E102" s="17"/>
      <c r="F102" s="44"/>
      <c r="G102" s="19"/>
      <c r="H102" s="20"/>
    </row>
    <row r="103" spans="1:8" ht="18.75" x14ac:dyDescent="0.25">
      <c r="A103" s="14">
        <f t="shared" si="1"/>
        <v>102</v>
      </c>
      <c r="B103" s="15" t="s">
        <v>196</v>
      </c>
      <c r="C103" s="16"/>
      <c r="D103" s="16"/>
      <c r="E103" s="17"/>
      <c r="F103" s="44"/>
      <c r="G103" s="19"/>
      <c r="H103" s="20"/>
    </row>
    <row r="104" spans="1:8" ht="18.75" x14ac:dyDescent="0.25">
      <c r="A104" s="14">
        <f t="shared" si="1"/>
        <v>103</v>
      </c>
      <c r="B104" s="15"/>
      <c r="C104" s="16" t="s">
        <v>159</v>
      </c>
      <c r="D104" s="16"/>
      <c r="E104" s="17" t="s">
        <v>91</v>
      </c>
      <c r="F104" s="44"/>
      <c r="G104" s="19"/>
      <c r="H104" s="20"/>
    </row>
    <row r="105" spans="1:8" ht="18.75" x14ac:dyDescent="0.25">
      <c r="A105" s="14">
        <f t="shared" si="1"/>
        <v>104</v>
      </c>
      <c r="B105" s="15"/>
      <c r="C105" s="16" t="s">
        <v>160</v>
      </c>
      <c r="D105" s="16"/>
      <c r="E105" s="17" t="s">
        <v>90</v>
      </c>
      <c r="F105" s="44"/>
      <c r="G105" s="19"/>
      <c r="H105" s="20"/>
    </row>
    <row r="106" spans="1:8" ht="18.75" x14ac:dyDescent="0.25">
      <c r="A106" s="14">
        <f t="shared" si="1"/>
        <v>105</v>
      </c>
      <c r="B106" s="15"/>
      <c r="C106" s="16" t="s">
        <v>191</v>
      </c>
      <c r="D106" s="16"/>
      <c r="E106" s="17" t="s">
        <v>95</v>
      </c>
      <c r="F106" s="44"/>
      <c r="G106" s="19"/>
      <c r="H106" s="20"/>
    </row>
    <row r="107" spans="1:8" ht="18.75" x14ac:dyDescent="0.25">
      <c r="A107" s="14">
        <f t="shared" si="1"/>
        <v>106</v>
      </c>
      <c r="B107" s="15"/>
      <c r="C107" s="16" t="s">
        <v>241</v>
      </c>
      <c r="D107" s="16"/>
      <c r="E107" s="17" t="s">
        <v>95</v>
      </c>
      <c r="F107" s="44"/>
      <c r="G107" s="19"/>
      <c r="H107" s="20"/>
    </row>
    <row r="108" spans="1:8" ht="18.75" x14ac:dyDescent="0.25">
      <c r="A108" s="14">
        <f t="shared" si="1"/>
        <v>107</v>
      </c>
      <c r="B108" s="15"/>
      <c r="C108" s="16"/>
      <c r="D108" s="16" t="s">
        <v>339</v>
      </c>
      <c r="E108" s="17" t="s">
        <v>90</v>
      </c>
      <c r="F108" s="44"/>
      <c r="G108" s="19"/>
      <c r="H108" s="20"/>
    </row>
    <row r="109" spans="1:8" ht="18.75" x14ac:dyDescent="0.25">
      <c r="A109" s="14">
        <f t="shared" si="1"/>
        <v>108</v>
      </c>
      <c r="B109" s="15"/>
      <c r="C109" s="16"/>
      <c r="D109" s="16" t="s">
        <v>340</v>
      </c>
      <c r="E109" s="17" t="s">
        <v>90</v>
      </c>
      <c r="F109" s="44"/>
      <c r="G109" s="19"/>
      <c r="H109" s="20"/>
    </row>
    <row r="110" spans="1:8" ht="18.75" x14ac:dyDescent="0.25">
      <c r="A110" s="14">
        <f t="shared" si="1"/>
        <v>109</v>
      </c>
      <c r="B110" s="15"/>
      <c r="C110" s="16" t="s">
        <v>197</v>
      </c>
      <c r="D110" s="16"/>
      <c r="E110" s="17" t="s">
        <v>95</v>
      </c>
      <c r="F110" s="44"/>
      <c r="G110" s="19"/>
      <c r="H110" s="20"/>
    </row>
    <row r="111" spans="1:8" ht="18.75" x14ac:dyDescent="0.25">
      <c r="A111" s="14">
        <f t="shared" si="1"/>
        <v>110</v>
      </c>
      <c r="B111" s="15"/>
      <c r="C111" s="16" t="s">
        <v>161</v>
      </c>
      <c r="D111" s="16"/>
      <c r="E111" s="17" t="s">
        <v>90</v>
      </c>
      <c r="F111" s="44"/>
      <c r="G111" s="19"/>
      <c r="H111" s="20"/>
    </row>
    <row r="112" spans="1:8" ht="18.75" x14ac:dyDescent="0.25">
      <c r="A112" s="14">
        <f t="shared" si="1"/>
        <v>111</v>
      </c>
      <c r="B112" s="15" t="s">
        <v>192</v>
      </c>
      <c r="C112" s="16"/>
      <c r="D112" s="16"/>
      <c r="E112" s="17"/>
      <c r="F112" s="44"/>
      <c r="G112" s="19"/>
      <c r="H112" s="20"/>
    </row>
    <row r="113" spans="1:8" ht="18.75" x14ac:dyDescent="0.25">
      <c r="A113" s="14">
        <f t="shared" si="1"/>
        <v>112</v>
      </c>
      <c r="B113" s="15"/>
      <c r="C113" s="16" t="s">
        <v>159</v>
      </c>
      <c r="D113" s="16"/>
      <c r="E113" s="17" t="s">
        <v>89</v>
      </c>
      <c r="F113" s="44"/>
      <c r="G113" s="19"/>
      <c r="H113" s="20"/>
    </row>
    <row r="114" spans="1:8" ht="18.75" x14ac:dyDescent="0.25">
      <c r="A114" s="14">
        <f t="shared" si="1"/>
        <v>113</v>
      </c>
      <c r="B114" s="15"/>
      <c r="C114" s="16" t="s">
        <v>165</v>
      </c>
      <c r="D114" s="16"/>
      <c r="E114" s="17" t="s">
        <v>120</v>
      </c>
      <c r="F114" s="44"/>
      <c r="G114" s="19"/>
      <c r="H114" s="20"/>
    </row>
    <row r="115" spans="1:8" ht="18.75" x14ac:dyDescent="0.25">
      <c r="A115" s="14">
        <f t="shared" si="1"/>
        <v>114</v>
      </c>
      <c r="B115" s="15"/>
      <c r="C115" s="16" t="s">
        <v>166</v>
      </c>
      <c r="D115" s="16"/>
      <c r="E115" s="17" t="s">
        <v>89</v>
      </c>
      <c r="F115" s="44"/>
      <c r="G115" s="19"/>
      <c r="H115" s="20"/>
    </row>
    <row r="116" spans="1:8" ht="18.75" x14ac:dyDescent="0.25">
      <c r="A116" s="14">
        <f t="shared" si="1"/>
        <v>115</v>
      </c>
      <c r="B116" s="15"/>
      <c r="C116" s="16" t="s">
        <v>167</v>
      </c>
      <c r="D116" s="16"/>
      <c r="E116" s="17" t="s">
        <v>120</v>
      </c>
      <c r="F116" s="44"/>
      <c r="G116" s="19"/>
      <c r="H116" s="20"/>
    </row>
    <row r="117" spans="1:8" ht="18.75" x14ac:dyDescent="0.25">
      <c r="A117" s="14">
        <f t="shared" si="1"/>
        <v>116</v>
      </c>
      <c r="B117" s="15"/>
      <c r="C117" s="16" t="s">
        <v>168</v>
      </c>
      <c r="D117" s="16"/>
      <c r="E117" s="17" t="s">
        <v>89</v>
      </c>
      <c r="F117" s="44"/>
      <c r="G117" s="19"/>
      <c r="H117" s="20"/>
    </row>
    <row r="118" spans="1:8" ht="18.75" x14ac:dyDescent="0.25">
      <c r="A118" s="14">
        <f t="shared" si="1"/>
        <v>117</v>
      </c>
      <c r="B118" s="15"/>
      <c r="C118" s="16" t="s">
        <v>189</v>
      </c>
      <c r="D118" s="16"/>
      <c r="E118" s="17" t="s">
        <v>95</v>
      </c>
      <c r="F118" s="44"/>
      <c r="G118" s="19"/>
      <c r="H118" s="20"/>
    </row>
    <row r="119" spans="1:8" ht="18.75" x14ac:dyDescent="0.25">
      <c r="A119" s="14">
        <f t="shared" si="1"/>
        <v>118</v>
      </c>
      <c r="B119" s="15"/>
      <c r="C119" s="16" t="s">
        <v>190</v>
      </c>
      <c r="D119" s="16"/>
      <c r="E119" s="17" t="s">
        <v>95</v>
      </c>
      <c r="F119" s="44"/>
      <c r="G119" s="19"/>
      <c r="H119" s="20"/>
    </row>
    <row r="120" spans="1:8" ht="18.75" x14ac:dyDescent="0.25">
      <c r="A120" s="14">
        <f t="shared" si="1"/>
        <v>119</v>
      </c>
      <c r="B120" s="15" t="s">
        <v>193</v>
      </c>
      <c r="C120" s="16"/>
      <c r="D120" s="16"/>
      <c r="E120" s="17"/>
      <c r="F120" s="44"/>
      <c r="G120" s="19"/>
      <c r="H120" s="20"/>
    </row>
    <row r="121" spans="1:8" ht="18.75" x14ac:dyDescent="0.25">
      <c r="A121" s="14">
        <f t="shared" si="1"/>
        <v>120</v>
      </c>
      <c r="B121" s="15"/>
      <c r="C121" s="16" t="s">
        <v>169</v>
      </c>
      <c r="D121" s="16"/>
      <c r="E121" s="17" t="s">
        <v>185</v>
      </c>
      <c r="F121" s="44"/>
      <c r="G121" s="19"/>
      <c r="H121" s="20"/>
    </row>
    <row r="122" spans="1:8" ht="18.75" x14ac:dyDescent="0.25">
      <c r="A122" s="14">
        <f t="shared" si="1"/>
        <v>121</v>
      </c>
      <c r="B122" s="15"/>
      <c r="C122" s="16" t="s">
        <v>170</v>
      </c>
      <c r="D122" s="16"/>
      <c r="E122" s="17" t="s">
        <v>185</v>
      </c>
      <c r="F122" s="44"/>
      <c r="G122" s="19"/>
      <c r="H122" s="20"/>
    </row>
    <row r="123" spans="1:8" ht="18.75" x14ac:dyDescent="0.25">
      <c r="A123" s="14">
        <f t="shared" si="1"/>
        <v>122</v>
      </c>
      <c r="B123" s="15"/>
      <c r="C123" s="16" t="s">
        <v>171</v>
      </c>
      <c r="D123" s="16"/>
      <c r="E123" s="17" t="s">
        <v>185</v>
      </c>
      <c r="F123" s="44"/>
      <c r="G123" s="19"/>
      <c r="H123" s="20"/>
    </row>
    <row r="124" spans="1:8" ht="18.75" x14ac:dyDescent="0.25">
      <c r="A124" s="14">
        <f t="shared" si="1"/>
        <v>123</v>
      </c>
      <c r="B124" s="15"/>
      <c r="C124" s="16" t="s">
        <v>18</v>
      </c>
      <c r="D124" s="16"/>
      <c r="E124" s="17" t="s">
        <v>185</v>
      </c>
      <c r="F124" s="44"/>
      <c r="G124" s="19"/>
      <c r="H124" s="20"/>
    </row>
    <row r="125" spans="1:8" ht="18.75" x14ac:dyDescent="0.25">
      <c r="A125" s="14">
        <f t="shared" si="1"/>
        <v>124</v>
      </c>
      <c r="B125" s="15"/>
      <c r="C125" s="16" t="s">
        <v>172</v>
      </c>
      <c r="D125" s="16"/>
      <c r="E125" s="17" t="s">
        <v>185</v>
      </c>
      <c r="F125" s="44"/>
      <c r="G125" s="19"/>
      <c r="H125" s="20"/>
    </row>
    <row r="126" spans="1:8" ht="18.75" x14ac:dyDescent="0.25">
      <c r="A126" s="14">
        <f t="shared" si="1"/>
        <v>125</v>
      </c>
      <c r="B126" s="15"/>
      <c r="C126" s="16" t="s">
        <v>65</v>
      </c>
      <c r="D126" s="16"/>
      <c r="E126" s="17" t="s">
        <v>185</v>
      </c>
      <c r="F126" s="44"/>
      <c r="G126" s="19"/>
      <c r="H126" s="20"/>
    </row>
    <row r="127" spans="1:8" ht="18.75" x14ac:dyDescent="0.25">
      <c r="A127" s="14">
        <f t="shared" si="1"/>
        <v>126</v>
      </c>
      <c r="B127" s="15"/>
      <c r="C127" s="16" t="s">
        <v>173</v>
      </c>
      <c r="D127" s="16"/>
      <c r="E127" s="17" t="s">
        <v>185</v>
      </c>
      <c r="F127" s="44"/>
      <c r="G127" s="19"/>
      <c r="H127" s="20"/>
    </row>
    <row r="128" spans="1:8" ht="18.75" x14ac:dyDescent="0.25">
      <c r="A128" s="14">
        <f t="shared" si="1"/>
        <v>127</v>
      </c>
      <c r="B128" s="15"/>
      <c r="C128" s="16" t="s">
        <v>174</v>
      </c>
      <c r="D128" s="16"/>
      <c r="E128" s="17" t="s">
        <v>185</v>
      </c>
      <c r="F128" s="44"/>
      <c r="G128" s="19"/>
      <c r="H128" s="20"/>
    </row>
    <row r="129" spans="1:8" ht="18.75" x14ac:dyDescent="0.25">
      <c r="A129" s="14">
        <f t="shared" si="1"/>
        <v>128</v>
      </c>
      <c r="B129" s="15"/>
      <c r="C129" s="16" t="s">
        <v>175</v>
      </c>
      <c r="D129" s="16"/>
      <c r="E129" s="17" t="s">
        <v>185</v>
      </c>
      <c r="F129" s="44"/>
      <c r="G129" s="19"/>
      <c r="H129" s="20"/>
    </row>
    <row r="130" spans="1:8" ht="37.5" x14ac:dyDescent="0.25">
      <c r="A130" s="14">
        <f t="shared" si="1"/>
        <v>129</v>
      </c>
      <c r="B130" s="15"/>
      <c r="C130" s="16" t="s">
        <v>176</v>
      </c>
      <c r="D130" s="16"/>
      <c r="E130" s="17" t="s">
        <v>185</v>
      </c>
      <c r="F130" s="44"/>
      <c r="G130" s="19"/>
      <c r="H130" s="20"/>
    </row>
    <row r="131" spans="1:8" ht="18.75" x14ac:dyDescent="0.25">
      <c r="A131" s="14">
        <f t="shared" si="1"/>
        <v>130</v>
      </c>
      <c r="B131" s="15"/>
      <c r="C131" s="16" t="s">
        <v>177</v>
      </c>
      <c r="D131" s="16"/>
      <c r="E131" s="17" t="s">
        <v>185</v>
      </c>
      <c r="F131" s="44"/>
      <c r="G131" s="19"/>
      <c r="H131" s="20"/>
    </row>
    <row r="132" spans="1:8" ht="18.75" x14ac:dyDescent="0.25">
      <c r="A132" s="14">
        <f t="shared" ref="A132:A195" si="2">+A131+1</f>
        <v>131</v>
      </c>
      <c r="B132" s="15"/>
      <c r="C132" s="16" t="s">
        <v>178</v>
      </c>
      <c r="D132" s="16"/>
      <c r="E132" s="17" t="s">
        <v>185</v>
      </c>
      <c r="F132" s="44"/>
      <c r="G132" s="19"/>
      <c r="H132" s="20"/>
    </row>
    <row r="133" spans="1:8" ht="18.75" x14ac:dyDescent="0.25">
      <c r="A133" s="14">
        <f t="shared" si="2"/>
        <v>132</v>
      </c>
      <c r="B133" s="15"/>
      <c r="C133" s="16" t="s">
        <v>179</v>
      </c>
      <c r="D133" s="16"/>
      <c r="E133" s="17" t="s">
        <v>185</v>
      </c>
      <c r="F133" s="44"/>
      <c r="G133" s="19"/>
      <c r="H133" s="20"/>
    </row>
    <row r="134" spans="1:8" ht="18.75" x14ac:dyDescent="0.25">
      <c r="A134" s="14">
        <f t="shared" si="2"/>
        <v>133</v>
      </c>
      <c r="B134" s="15"/>
      <c r="C134" s="16" t="s">
        <v>180</v>
      </c>
      <c r="D134" s="16"/>
      <c r="E134" s="17" t="s">
        <v>185</v>
      </c>
      <c r="F134" s="44"/>
      <c r="G134" s="19"/>
      <c r="H134" s="20"/>
    </row>
    <row r="135" spans="1:8" ht="18.75" x14ac:dyDescent="0.25">
      <c r="A135" s="14">
        <f t="shared" si="2"/>
        <v>134</v>
      </c>
      <c r="B135" s="15"/>
      <c r="C135" s="16" t="s">
        <v>181</v>
      </c>
      <c r="D135" s="16"/>
      <c r="E135" s="17" t="s">
        <v>185</v>
      </c>
      <c r="F135" s="44"/>
      <c r="G135" s="19"/>
      <c r="H135" s="20"/>
    </row>
    <row r="136" spans="1:8" ht="18.75" x14ac:dyDescent="0.25">
      <c r="A136" s="14">
        <f t="shared" si="2"/>
        <v>135</v>
      </c>
      <c r="B136" s="15"/>
      <c r="C136" s="16" t="s">
        <v>182</v>
      </c>
      <c r="D136" s="16"/>
      <c r="E136" s="17" t="s">
        <v>185</v>
      </c>
      <c r="F136" s="44"/>
      <c r="G136" s="19"/>
      <c r="H136" s="20"/>
    </row>
    <row r="137" spans="1:8" ht="18.75" x14ac:dyDescent="0.25">
      <c r="A137" s="14">
        <f t="shared" si="2"/>
        <v>136</v>
      </c>
      <c r="B137" s="15"/>
      <c r="C137" s="16" t="s">
        <v>183</v>
      </c>
      <c r="D137" s="16"/>
      <c r="E137" s="17" t="s">
        <v>185</v>
      </c>
      <c r="F137" s="44"/>
      <c r="G137" s="19"/>
      <c r="H137" s="20"/>
    </row>
    <row r="138" spans="1:8" ht="18.75" x14ac:dyDescent="0.25">
      <c r="A138" s="14">
        <f t="shared" si="2"/>
        <v>137</v>
      </c>
      <c r="B138" s="15"/>
      <c r="C138" s="16" t="s">
        <v>184</v>
      </c>
      <c r="D138" s="16"/>
      <c r="E138" s="17" t="s">
        <v>185</v>
      </c>
      <c r="F138" s="44"/>
      <c r="G138" s="19"/>
      <c r="H138" s="20"/>
    </row>
    <row r="139" spans="1:8" ht="18.75" x14ac:dyDescent="0.25">
      <c r="A139" s="14">
        <f t="shared" si="2"/>
        <v>138</v>
      </c>
      <c r="B139" s="15" t="s">
        <v>194</v>
      </c>
      <c r="C139" s="16"/>
      <c r="D139" s="16"/>
      <c r="E139" s="17"/>
      <c r="F139" s="44"/>
      <c r="G139" s="19"/>
      <c r="H139" s="20"/>
    </row>
    <row r="140" spans="1:8" ht="18.75" x14ac:dyDescent="0.25">
      <c r="A140" s="14">
        <f t="shared" si="2"/>
        <v>139</v>
      </c>
      <c r="B140" s="15"/>
      <c r="C140" s="16" t="s">
        <v>186</v>
      </c>
      <c r="D140" s="16"/>
      <c r="E140" s="17" t="s">
        <v>185</v>
      </c>
      <c r="F140" s="44"/>
      <c r="G140" s="19"/>
      <c r="H140" s="20"/>
    </row>
    <row r="141" spans="1:8" ht="18.75" x14ac:dyDescent="0.25">
      <c r="A141" s="14">
        <f t="shared" si="2"/>
        <v>140</v>
      </c>
      <c r="B141" s="15"/>
      <c r="C141" s="16" t="s">
        <v>187</v>
      </c>
      <c r="D141" s="16"/>
      <c r="E141" s="17" t="s">
        <v>185</v>
      </c>
      <c r="F141" s="44"/>
      <c r="G141" s="19"/>
      <c r="H141" s="20"/>
    </row>
    <row r="142" spans="1:8" ht="18.75" x14ac:dyDescent="0.25">
      <c r="A142" s="14">
        <f t="shared" si="2"/>
        <v>141</v>
      </c>
      <c r="B142" s="15"/>
      <c r="C142" s="16" t="s">
        <v>188</v>
      </c>
      <c r="D142" s="16"/>
      <c r="E142" s="17" t="s">
        <v>185</v>
      </c>
      <c r="F142" s="44"/>
      <c r="G142" s="19"/>
      <c r="H142" s="20"/>
    </row>
    <row r="143" spans="1:8" ht="18.75" x14ac:dyDescent="0.25">
      <c r="A143" s="14">
        <f t="shared" si="2"/>
        <v>142</v>
      </c>
      <c r="B143" s="15" t="s">
        <v>198</v>
      </c>
      <c r="C143" s="16"/>
      <c r="D143" s="16"/>
      <c r="E143" s="17"/>
      <c r="F143" s="44"/>
      <c r="G143" s="19"/>
      <c r="H143" s="20"/>
    </row>
    <row r="144" spans="1:8" ht="18.75" x14ac:dyDescent="0.25">
      <c r="A144" s="14">
        <f t="shared" si="2"/>
        <v>143</v>
      </c>
      <c r="B144" s="15"/>
      <c r="C144" s="16" t="s">
        <v>203</v>
      </c>
      <c r="D144" s="16"/>
      <c r="E144" s="17" t="s">
        <v>101</v>
      </c>
      <c r="F144" s="44"/>
      <c r="G144" s="19"/>
      <c r="H144" s="20"/>
    </row>
    <row r="145" spans="1:8" ht="18.75" x14ac:dyDescent="0.25">
      <c r="A145" s="14">
        <f t="shared" si="2"/>
        <v>144</v>
      </c>
      <c r="B145" s="15"/>
      <c r="C145" s="16" t="s">
        <v>199</v>
      </c>
      <c r="D145" s="16"/>
      <c r="E145" s="17" t="s">
        <v>92</v>
      </c>
      <c r="F145" s="44"/>
      <c r="G145" s="19"/>
      <c r="H145" s="20"/>
    </row>
    <row r="146" spans="1:8" ht="18.75" x14ac:dyDescent="0.25">
      <c r="A146" s="14">
        <f t="shared" si="2"/>
        <v>145</v>
      </c>
      <c r="B146" s="15"/>
      <c r="C146" s="16" t="s">
        <v>272</v>
      </c>
      <c r="D146" s="16"/>
      <c r="E146" s="17" t="s">
        <v>92</v>
      </c>
      <c r="F146" s="44"/>
      <c r="G146" s="19"/>
      <c r="H146" s="20"/>
    </row>
    <row r="147" spans="1:8" ht="18.75" x14ac:dyDescent="0.25">
      <c r="A147" s="14">
        <f t="shared" si="2"/>
        <v>146</v>
      </c>
      <c r="B147" s="15"/>
      <c r="C147" s="16" t="s">
        <v>200</v>
      </c>
      <c r="D147" s="16"/>
      <c r="E147" s="17" t="s">
        <v>92</v>
      </c>
      <c r="F147" s="44"/>
      <c r="G147" s="19"/>
      <c r="H147" s="20"/>
    </row>
    <row r="148" spans="1:8" ht="18.75" x14ac:dyDescent="0.25">
      <c r="A148" s="14">
        <f t="shared" si="2"/>
        <v>147</v>
      </c>
      <c r="B148" s="15"/>
      <c r="C148" s="16" t="s">
        <v>204</v>
      </c>
      <c r="D148" s="21"/>
      <c r="E148" s="17" t="s">
        <v>92</v>
      </c>
      <c r="F148" s="44"/>
      <c r="G148" s="19"/>
      <c r="H148" s="20"/>
    </row>
    <row r="149" spans="1:8" ht="18.75" x14ac:dyDescent="0.25">
      <c r="A149" s="14">
        <f t="shared" si="2"/>
        <v>148</v>
      </c>
      <c r="B149" s="15"/>
      <c r="C149" s="16" t="s">
        <v>273</v>
      </c>
      <c r="D149" s="21"/>
      <c r="E149" s="17" t="s">
        <v>92</v>
      </c>
      <c r="F149" s="44"/>
      <c r="G149" s="19"/>
      <c r="H149" s="20"/>
    </row>
    <row r="150" spans="1:8" ht="18.75" x14ac:dyDescent="0.25">
      <c r="A150" s="14">
        <f t="shared" si="2"/>
        <v>149</v>
      </c>
      <c r="B150" s="15"/>
      <c r="C150" s="16" t="s">
        <v>205</v>
      </c>
      <c r="D150" s="16"/>
      <c r="E150" s="17" t="s">
        <v>92</v>
      </c>
      <c r="F150" s="44"/>
      <c r="G150" s="19"/>
      <c r="H150" s="20"/>
    </row>
    <row r="151" spans="1:8" ht="18.75" x14ac:dyDescent="0.25">
      <c r="A151" s="14">
        <f t="shared" si="2"/>
        <v>150</v>
      </c>
      <c r="B151" s="15"/>
      <c r="C151" s="16" t="s">
        <v>201</v>
      </c>
      <c r="D151" s="16"/>
      <c r="E151" s="17" t="s">
        <v>95</v>
      </c>
      <c r="F151" s="44"/>
      <c r="G151" s="19"/>
      <c r="H151" s="20"/>
    </row>
    <row r="152" spans="1:8" ht="18.75" x14ac:dyDescent="0.25">
      <c r="A152" s="14">
        <f t="shared" si="2"/>
        <v>151</v>
      </c>
      <c r="B152" s="15"/>
      <c r="C152" s="16" t="s">
        <v>202</v>
      </c>
      <c r="D152" s="16"/>
      <c r="E152" s="17" t="s">
        <v>95</v>
      </c>
      <c r="F152" s="44"/>
      <c r="G152" s="19"/>
      <c r="H152" s="20"/>
    </row>
    <row r="153" spans="1:8" ht="18.75" x14ac:dyDescent="0.25">
      <c r="A153" s="14">
        <f t="shared" si="2"/>
        <v>152</v>
      </c>
      <c r="B153" s="15" t="s">
        <v>207</v>
      </c>
      <c r="C153" s="16"/>
      <c r="D153" s="16"/>
      <c r="E153" s="17"/>
      <c r="F153" s="44"/>
      <c r="G153" s="19"/>
      <c r="H153" s="20"/>
    </row>
    <row r="154" spans="1:8" ht="18.75" x14ac:dyDescent="0.25">
      <c r="A154" s="14">
        <f t="shared" si="2"/>
        <v>153</v>
      </c>
      <c r="B154" s="15"/>
      <c r="C154" s="16" t="s">
        <v>208</v>
      </c>
      <c r="D154" s="16"/>
      <c r="E154" s="17" t="s">
        <v>90</v>
      </c>
      <c r="F154" s="44"/>
      <c r="G154" s="19"/>
      <c r="H154" s="20"/>
    </row>
    <row r="155" spans="1:8" ht="18.75" x14ac:dyDescent="0.25">
      <c r="A155" s="14">
        <f t="shared" si="2"/>
        <v>154</v>
      </c>
      <c r="B155" s="15"/>
      <c r="C155" s="16" t="s">
        <v>251</v>
      </c>
      <c r="D155" s="16"/>
      <c r="E155" s="17" t="s">
        <v>91</v>
      </c>
      <c r="F155" s="44"/>
      <c r="G155" s="19"/>
      <c r="H155" s="20"/>
    </row>
    <row r="156" spans="1:8" ht="18.75" x14ac:dyDescent="0.25">
      <c r="A156" s="14">
        <f t="shared" si="2"/>
        <v>155</v>
      </c>
      <c r="B156" s="15"/>
      <c r="C156" s="16" t="s">
        <v>250</v>
      </c>
      <c r="D156" s="16"/>
      <c r="E156" s="17" t="s">
        <v>95</v>
      </c>
      <c r="F156" s="44"/>
      <c r="G156" s="19"/>
      <c r="H156" s="20"/>
    </row>
    <row r="157" spans="1:8" ht="18.75" x14ac:dyDescent="0.25">
      <c r="A157" s="14">
        <f t="shared" si="2"/>
        <v>156</v>
      </c>
      <c r="B157" s="15"/>
      <c r="C157" s="16"/>
      <c r="D157" s="16" t="s">
        <v>339</v>
      </c>
      <c r="E157" s="17" t="s">
        <v>90</v>
      </c>
      <c r="F157" s="44"/>
      <c r="G157" s="19"/>
      <c r="H157" s="20"/>
    </row>
    <row r="158" spans="1:8" ht="18.75" x14ac:dyDescent="0.25">
      <c r="A158" s="14">
        <f t="shared" si="2"/>
        <v>157</v>
      </c>
      <c r="B158" s="15"/>
      <c r="C158" s="16"/>
      <c r="D158" s="16" t="s">
        <v>340</v>
      </c>
      <c r="E158" s="17" t="s">
        <v>90</v>
      </c>
      <c r="F158" s="44"/>
      <c r="G158" s="19"/>
      <c r="H158" s="20"/>
    </row>
    <row r="159" spans="1:8" ht="18.75" x14ac:dyDescent="0.25">
      <c r="A159" s="14">
        <f t="shared" si="2"/>
        <v>158</v>
      </c>
      <c r="B159" s="15"/>
      <c r="C159" s="16" t="s">
        <v>161</v>
      </c>
      <c r="D159" s="16"/>
      <c r="E159" s="17" t="s">
        <v>90</v>
      </c>
      <c r="F159" s="44"/>
      <c r="G159" s="19"/>
      <c r="H159" s="20"/>
    </row>
    <row r="160" spans="1:8" ht="18.75" x14ac:dyDescent="0.25">
      <c r="A160" s="14">
        <f t="shared" si="2"/>
        <v>159</v>
      </c>
      <c r="B160" s="15" t="s">
        <v>210</v>
      </c>
      <c r="C160" s="16"/>
      <c r="D160" s="16"/>
      <c r="E160" s="17"/>
      <c r="F160" s="44"/>
      <c r="G160" s="19"/>
      <c r="H160" s="20"/>
    </row>
    <row r="161" spans="1:8" ht="18.75" x14ac:dyDescent="0.25">
      <c r="A161" s="14">
        <f t="shared" si="2"/>
        <v>160</v>
      </c>
      <c r="B161" s="15"/>
      <c r="C161" s="16" t="s">
        <v>57</v>
      </c>
      <c r="D161" s="16"/>
      <c r="E161" s="17" t="s">
        <v>90</v>
      </c>
      <c r="F161" s="44"/>
      <c r="G161" s="19"/>
      <c r="H161" s="20"/>
    </row>
    <row r="162" spans="1:8" ht="18.75" x14ac:dyDescent="0.25">
      <c r="A162" s="14">
        <f t="shared" si="2"/>
        <v>161</v>
      </c>
      <c r="B162" s="15"/>
      <c r="C162" s="16" t="s">
        <v>58</v>
      </c>
      <c r="D162" s="16"/>
      <c r="E162" s="17" t="s">
        <v>90</v>
      </c>
      <c r="F162" s="44"/>
      <c r="G162" s="19"/>
      <c r="H162" s="20"/>
    </row>
    <row r="163" spans="1:8" ht="18.75" x14ac:dyDescent="0.25">
      <c r="A163" s="14">
        <f t="shared" si="2"/>
        <v>162</v>
      </c>
      <c r="B163" s="15" t="s">
        <v>209</v>
      </c>
      <c r="C163" s="16"/>
      <c r="D163" s="16"/>
      <c r="E163" s="17"/>
      <c r="F163" s="44"/>
      <c r="G163" s="19"/>
      <c r="H163" s="20"/>
    </row>
    <row r="164" spans="1:8" ht="18.75" x14ac:dyDescent="0.25">
      <c r="A164" s="14">
        <f t="shared" si="2"/>
        <v>163</v>
      </c>
      <c r="B164" s="15"/>
      <c r="C164" s="16" t="s">
        <v>146</v>
      </c>
      <c r="D164" s="16"/>
      <c r="E164" s="17" t="s">
        <v>89</v>
      </c>
      <c r="F164" s="44"/>
      <c r="G164" s="19"/>
      <c r="H164" s="20"/>
    </row>
    <row r="165" spans="1:8" ht="18.75" x14ac:dyDescent="0.25">
      <c r="A165" s="14">
        <f t="shared" si="2"/>
        <v>164</v>
      </c>
      <c r="B165" s="15"/>
      <c r="C165" s="16" t="s">
        <v>211</v>
      </c>
      <c r="D165" s="16"/>
      <c r="E165" s="17" t="s">
        <v>89</v>
      </c>
      <c r="F165" s="44"/>
      <c r="G165" s="19"/>
      <c r="H165" s="20"/>
    </row>
    <row r="166" spans="1:8" ht="18.75" x14ac:dyDescent="0.25">
      <c r="A166" s="14">
        <f t="shared" si="2"/>
        <v>165</v>
      </c>
      <c r="B166" s="15"/>
      <c r="C166" s="16" t="s">
        <v>123</v>
      </c>
      <c r="D166" s="16"/>
      <c r="E166" s="17" t="s">
        <v>89</v>
      </c>
      <c r="F166" s="44"/>
      <c r="G166" s="19"/>
      <c r="H166" s="20"/>
    </row>
    <row r="167" spans="1:8" ht="18.75" x14ac:dyDescent="0.25">
      <c r="A167" s="14">
        <f t="shared" si="2"/>
        <v>166</v>
      </c>
      <c r="B167" s="15"/>
      <c r="C167" s="16" t="s">
        <v>212</v>
      </c>
      <c r="D167" s="16"/>
      <c r="E167" s="17" t="s">
        <v>213</v>
      </c>
      <c r="F167" s="44"/>
      <c r="G167" s="19"/>
      <c r="H167" s="20"/>
    </row>
    <row r="168" spans="1:8" ht="18.75" x14ac:dyDescent="0.25">
      <c r="A168" s="14">
        <f t="shared" si="2"/>
        <v>167</v>
      </c>
      <c r="B168" s="15"/>
      <c r="C168" s="16" t="s">
        <v>214</v>
      </c>
      <c r="D168" s="16"/>
      <c r="E168" s="17" t="s">
        <v>95</v>
      </c>
      <c r="F168" s="44"/>
      <c r="G168" s="19"/>
      <c r="H168" s="20"/>
    </row>
    <row r="169" spans="1:8" ht="18.75" x14ac:dyDescent="0.25">
      <c r="A169" s="14">
        <f t="shared" si="2"/>
        <v>168</v>
      </c>
      <c r="B169" s="15"/>
      <c r="C169" s="16" t="s">
        <v>215</v>
      </c>
      <c r="D169" s="16"/>
      <c r="E169" s="17" t="s">
        <v>95</v>
      </c>
      <c r="F169" s="44"/>
      <c r="G169" s="19"/>
      <c r="H169" s="20"/>
    </row>
    <row r="170" spans="1:8" ht="18.75" x14ac:dyDescent="0.25">
      <c r="A170" s="14">
        <f t="shared" si="2"/>
        <v>169</v>
      </c>
      <c r="B170" s="15" t="s">
        <v>216</v>
      </c>
      <c r="C170" s="16"/>
      <c r="D170" s="16"/>
      <c r="E170" s="17"/>
      <c r="F170" s="44"/>
      <c r="G170" s="19"/>
      <c r="H170" s="20"/>
    </row>
    <row r="171" spans="1:8" ht="18.75" x14ac:dyDescent="0.25">
      <c r="A171" s="14">
        <f t="shared" si="2"/>
        <v>170</v>
      </c>
      <c r="B171" s="15"/>
      <c r="C171" s="16" t="s">
        <v>146</v>
      </c>
      <c r="D171" s="16"/>
      <c r="E171" s="17" t="s">
        <v>89</v>
      </c>
      <c r="F171" s="44"/>
      <c r="G171" s="19"/>
      <c r="H171" s="20"/>
    </row>
    <row r="172" spans="1:8" ht="18.75" x14ac:dyDescent="0.25">
      <c r="A172" s="14">
        <f t="shared" si="2"/>
        <v>171</v>
      </c>
      <c r="B172" s="15"/>
      <c r="C172" s="16" t="s">
        <v>217</v>
      </c>
      <c r="D172" s="16"/>
      <c r="E172" s="17" t="s">
        <v>89</v>
      </c>
      <c r="F172" s="44"/>
      <c r="G172" s="19"/>
      <c r="H172" s="20"/>
    </row>
    <row r="173" spans="1:8" ht="18.75" x14ac:dyDescent="0.25">
      <c r="A173" s="14">
        <f t="shared" si="2"/>
        <v>172</v>
      </c>
      <c r="B173" s="15"/>
      <c r="C173" s="16" t="s">
        <v>212</v>
      </c>
      <c r="D173" s="16"/>
      <c r="E173" s="17" t="s">
        <v>213</v>
      </c>
      <c r="F173" s="44"/>
      <c r="G173" s="19"/>
      <c r="H173" s="20"/>
    </row>
    <row r="174" spans="1:8" ht="18.75" x14ac:dyDescent="0.25">
      <c r="A174" s="14">
        <f t="shared" si="2"/>
        <v>173</v>
      </c>
      <c r="B174" s="15"/>
      <c r="C174" s="16" t="s">
        <v>214</v>
      </c>
      <c r="D174" s="16"/>
      <c r="E174" s="17" t="s">
        <v>95</v>
      </c>
      <c r="F174" s="44"/>
      <c r="G174" s="19"/>
      <c r="H174" s="20"/>
    </row>
    <row r="175" spans="1:8" ht="18.75" x14ac:dyDescent="0.25">
      <c r="A175" s="14">
        <f t="shared" si="2"/>
        <v>174</v>
      </c>
      <c r="B175" s="15"/>
      <c r="C175" s="16" t="s">
        <v>215</v>
      </c>
      <c r="D175" s="16"/>
      <c r="E175" s="17" t="s">
        <v>95</v>
      </c>
      <c r="F175" s="44"/>
      <c r="G175" s="19"/>
      <c r="H175" s="20"/>
    </row>
    <row r="176" spans="1:8" ht="18.75" x14ac:dyDescent="0.25">
      <c r="A176" s="14">
        <f t="shared" si="2"/>
        <v>175</v>
      </c>
      <c r="B176" s="15" t="s">
        <v>218</v>
      </c>
      <c r="C176" s="16"/>
      <c r="D176" s="16"/>
      <c r="E176" s="17"/>
      <c r="F176" s="44"/>
      <c r="G176" s="19"/>
      <c r="H176" s="20"/>
    </row>
    <row r="177" spans="1:8" ht="18.75" x14ac:dyDescent="0.25">
      <c r="A177" s="14">
        <f t="shared" si="2"/>
        <v>176</v>
      </c>
      <c r="B177" s="15"/>
      <c r="C177" s="16" t="s">
        <v>219</v>
      </c>
      <c r="D177" s="16"/>
      <c r="E177" s="17" t="s">
        <v>90</v>
      </c>
      <c r="F177" s="44"/>
      <c r="G177" s="19"/>
      <c r="H177" s="20"/>
    </row>
    <row r="178" spans="1:8" ht="18.75" x14ac:dyDescent="0.25">
      <c r="A178" s="14">
        <f t="shared" si="2"/>
        <v>177</v>
      </c>
      <c r="B178" s="15"/>
      <c r="C178" s="16" t="s">
        <v>161</v>
      </c>
      <c r="D178" s="16"/>
      <c r="E178" s="17" t="s">
        <v>90</v>
      </c>
      <c r="F178" s="44"/>
      <c r="G178" s="19"/>
      <c r="H178" s="20"/>
    </row>
    <row r="179" spans="1:8" ht="18.75" x14ac:dyDescent="0.25">
      <c r="A179" s="14">
        <f t="shared" si="2"/>
        <v>178</v>
      </c>
      <c r="B179" s="15" t="s">
        <v>220</v>
      </c>
      <c r="C179" s="16"/>
      <c r="D179" s="16"/>
      <c r="E179" s="17"/>
      <c r="F179" s="44"/>
      <c r="G179" s="19"/>
      <c r="H179" s="20"/>
    </row>
    <row r="180" spans="1:8" ht="18.75" x14ac:dyDescent="0.25">
      <c r="A180" s="14">
        <f t="shared" si="2"/>
        <v>179</v>
      </c>
      <c r="B180" s="15"/>
      <c r="C180" s="16" t="s">
        <v>159</v>
      </c>
      <c r="D180" s="16"/>
      <c r="E180" s="17" t="s">
        <v>120</v>
      </c>
      <c r="F180" s="44"/>
      <c r="G180" s="19"/>
      <c r="H180" s="20"/>
    </row>
    <row r="181" spans="1:8" ht="18.75" x14ac:dyDescent="0.25">
      <c r="A181" s="14">
        <f t="shared" si="2"/>
        <v>180</v>
      </c>
      <c r="B181" s="15"/>
      <c r="C181" s="16" t="s">
        <v>487</v>
      </c>
      <c r="D181" s="16"/>
      <c r="E181" s="17" t="s">
        <v>120</v>
      </c>
      <c r="F181" s="44"/>
      <c r="G181" s="19"/>
      <c r="H181" s="20"/>
    </row>
    <row r="182" spans="1:8" ht="18.75" x14ac:dyDescent="0.25">
      <c r="A182" s="14">
        <f t="shared" si="2"/>
        <v>181</v>
      </c>
      <c r="B182" s="15"/>
      <c r="C182" s="16"/>
      <c r="D182" s="16" t="s">
        <v>221</v>
      </c>
      <c r="E182" s="17" t="s">
        <v>185</v>
      </c>
      <c r="F182" s="44"/>
      <c r="G182" s="19"/>
      <c r="H182" s="20"/>
    </row>
    <row r="183" spans="1:8" ht="18.75" x14ac:dyDescent="0.25">
      <c r="A183" s="14">
        <f t="shared" si="2"/>
        <v>182</v>
      </c>
      <c r="B183" s="15"/>
      <c r="C183" s="16"/>
      <c r="D183" s="16" t="s">
        <v>222</v>
      </c>
      <c r="E183" s="17" t="s">
        <v>185</v>
      </c>
      <c r="F183" s="44"/>
      <c r="G183" s="19"/>
      <c r="H183" s="20"/>
    </row>
    <row r="184" spans="1:8" ht="18.75" x14ac:dyDescent="0.25">
      <c r="A184" s="14">
        <f t="shared" si="2"/>
        <v>183</v>
      </c>
      <c r="B184" s="15"/>
      <c r="C184" s="16"/>
      <c r="D184" s="16" t="s">
        <v>223</v>
      </c>
      <c r="E184" s="17" t="s">
        <v>185</v>
      </c>
      <c r="F184" s="44"/>
      <c r="G184" s="19"/>
      <c r="H184" s="20"/>
    </row>
    <row r="185" spans="1:8" ht="37.5" x14ac:dyDescent="0.25">
      <c r="A185" s="14">
        <f t="shared" si="2"/>
        <v>184</v>
      </c>
      <c r="B185" s="15"/>
      <c r="C185" s="16" t="s">
        <v>224</v>
      </c>
      <c r="D185" s="16"/>
      <c r="E185" s="17" t="s">
        <v>91</v>
      </c>
      <c r="F185" s="44"/>
      <c r="G185" s="19"/>
      <c r="H185" s="20"/>
    </row>
    <row r="186" spans="1:8" ht="18.75" x14ac:dyDescent="0.25">
      <c r="A186" s="14">
        <f t="shared" si="2"/>
        <v>185</v>
      </c>
      <c r="B186" s="15"/>
      <c r="C186" s="16" t="s">
        <v>488</v>
      </c>
      <c r="D186" s="16"/>
      <c r="E186" s="17" t="s">
        <v>120</v>
      </c>
      <c r="F186" s="44"/>
      <c r="G186" s="19"/>
      <c r="H186" s="20"/>
    </row>
    <row r="187" spans="1:8" ht="18.75" x14ac:dyDescent="0.25">
      <c r="A187" s="14">
        <f t="shared" si="2"/>
        <v>186</v>
      </c>
      <c r="B187" s="15"/>
      <c r="C187" s="16"/>
      <c r="D187" s="16" t="s">
        <v>236</v>
      </c>
      <c r="E187" s="17" t="s">
        <v>185</v>
      </c>
      <c r="F187" s="44"/>
      <c r="G187" s="19"/>
      <c r="H187" s="20"/>
    </row>
    <row r="188" spans="1:8" ht="18.75" x14ac:dyDescent="0.25">
      <c r="A188" s="14">
        <f t="shared" si="2"/>
        <v>187</v>
      </c>
      <c r="B188" s="15"/>
      <c r="C188" s="16"/>
      <c r="D188" s="16" t="s">
        <v>237</v>
      </c>
      <c r="E188" s="17" t="s">
        <v>185</v>
      </c>
      <c r="F188" s="44"/>
      <c r="G188" s="19"/>
      <c r="H188" s="20"/>
    </row>
    <row r="189" spans="1:8" ht="18.75" x14ac:dyDescent="0.25">
      <c r="A189" s="14">
        <f t="shared" si="2"/>
        <v>188</v>
      </c>
      <c r="B189" s="15"/>
      <c r="C189" s="16"/>
      <c r="D189" s="16" t="s">
        <v>238</v>
      </c>
      <c r="E189" s="17" t="s">
        <v>185</v>
      </c>
      <c r="F189" s="44"/>
      <c r="G189" s="19"/>
      <c r="H189" s="20"/>
    </row>
    <row r="190" spans="1:8" ht="18.75" x14ac:dyDescent="0.25">
      <c r="A190" s="14">
        <f t="shared" si="2"/>
        <v>189</v>
      </c>
      <c r="B190" s="15"/>
      <c r="C190" s="16"/>
      <c r="D190" s="16" t="s">
        <v>239</v>
      </c>
      <c r="E190" s="17" t="s">
        <v>185</v>
      </c>
      <c r="F190" s="44"/>
      <c r="G190" s="19"/>
      <c r="H190" s="20"/>
    </row>
    <row r="191" spans="1:8" ht="18.75" x14ac:dyDescent="0.25">
      <c r="A191" s="14">
        <f t="shared" si="2"/>
        <v>190</v>
      </c>
      <c r="B191" s="15"/>
      <c r="C191" s="16"/>
      <c r="D191" s="16" t="s">
        <v>240</v>
      </c>
      <c r="E191" s="17" t="s">
        <v>185</v>
      </c>
      <c r="F191" s="44"/>
      <c r="G191" s="19"/>
      <c r="H191" s="20"/>
    </row>
    <row r="192" spans="1:8" ht="18.75" x14ac:dyDescent="0.25">
      <c r="A192" s="14">
        <f t="shared" si="2"/>
        <v>191</v>
      </c>
      <c r="B192" s="15"/>
      <c r="C192" s="16" t="s">
        <v>242</v>
      </c>
      <c r="D192" s="16"/>
      <c r="E192" s="17" t="s">
        <v>95</v>
      </c>
      <c r="F192" s="44"/>
      <c r="G192" s="19"/>
      <c r="H192" s="20"/>
    </row>
    <row r="193" spans="1:8" ht="18.75" x14ac:dyDescent="0.25">
      <c r="A193" s="14">
        <f t="shared" si="2"/>
        <v>192</v>
      </c>
      <c r="B193" s="15"/>
      <c r="C193" s="16"/>
      <c r="D193" s="16" t="s">
        <v>339</v>
      </c>
      <c r="E193" s="17" t="s">
        <v>90</v>
      </c>
      <c r="F193" s="44"/>
      <c r="G193" s="19"/>
      <c r="H193" s="20"/>
    </row>
    <row r="194" spans="1:8" ht="18.75" x14ac:dyDescent="0.25">
      <c r="A194" s="14">
        <f t="shared" si="2"/>
        <v>193</v>
      </c>
      <c r="B194" s="15"/>
      <c r="C194" s="16"/>
      <c r="D194" s="16" t="s">
        <v>340</v>
      </c>
      <c r="E194" s="17" t="s">
        <v>90</v>
      </c>
      <c r="F194" s="44"/>
      <c r="G194" s="19"/>
      <c r="H194" s="20"/>
    </row>
    <row r="195" spans="1:8" ht="18.75" x14ac:dyDescent="0.25">
      <c r="A195" s="14">
        <f t="shared" si="2"/>
        <v>194</v>
      </c>
      <c r="B195" s="15" t="s">
        <v>225</v>
      </c>
      <c r="C195" s="16"/>
      <c r="D195" s="16"/>
      <c r="E195" s="17"/>
      <c r="F195" s="44"/>
      <c r="G195" s="19"/>
      <c r="H195" s="20"/>
    </row>
    <row r="196" spans="1:8" ht="18.75" x14ac:dyDescent="0.25">
      <c r="A196" s="14">
        <f t="shared" ref="A196:A259" si="3">+A195+1</f>
        <v>195</v>
      </c>
      <c r="B196" s="15"/>
      <c r="C196" s="16" t="s">
        <v>489</v>
      </c>
      <c r="D196" s="16"/>
      <c r="E196" s="17" t="s">
        <v>120</v>
      </c>
      <c r="F196" s="44"/>
      <c r="G196" s="19"/>
      <c r="H196" s="20"/>
    </row>
    <row r="197" spans="1:8" ht="18.75" x14ac:dyDescent="0.25">
      <c r="A197" s="14">
        <f t="shared" si="3"/>
        <v>196</v>
      </c>
      <c r="B197" s="15"/>
      <c r="C197" s="16"/>
      <c r="D197" s="16" t="s">
        <v>226</v>
      </c>
      <c r="E197" s="17" t="s">
        <v>185</v>
      </c>
      <c r="F197" s="44"/>
      <c r="G197" s="19"/>
      <c r="H197" s="20"/>
    </row>
    <row r="198" spans="1:8" ht="18.75" x14ac:dyDescent="0.25">
      <c r="A198" s="14">
        <f t="shared" si="3"/>
        <v>197</v>
      </c>
      <c r="B198" s="15"/>
      <c r="C198" s="16"/>
      <c r="D198" s="16" t="s">
        <v>227</v>
      </c>
      <c r="E198" s="17" t="s">
        <v>185</v>
      </c>
      <c r="F198" s="44"/>
      <c r="G198" s="19"/>
      <c r="H198" s="20"/>
    </row>
    <row r="199" spans="1:8" ht="18.75" x14ac:dyDescent="0.25">
      <c r="A199" s="14">
        <f t="shared" si="3"/>
        <v>198</v>
      </c>
      <c r="B199" s="15"/>
      <c r="C199" s="16" t="s">
        <v>228</v>
      </c>
      <c r="D199" s="16"/>
      <c r="E199" s="17" t="s">
        <v>120</v>
      </c>
      <c r="F199" s="44"/>
      <c r="G199" s="19"/>
      <c r="H199" s="20"/>
    </row>
    <row r="200" spans="1:8" ht="18.75" x14ac:dyDescent="0.25">
      <c r="A200" s="14">
        <f t="shared" si="3"/>
        <v>199</v>
      </c>
      <c r="B200" s="15"/>
      <c r="C200" s="16" t="s">
        <v>490</v>
      </c>
      <c r="D200" s="16"/>
      <c r="E200" s="17" t="s">
        <v>120</v>
      </c>
      <c r="F200" s="44"/>
      <c r="G200" s="19"/>
      <c r="H200" s="20"/>
    </row>
    <row r="201" spans="1:8" ht="18.75" x14ac:dyDescent="0.25">
      <c r="A201" s="14">
        <f t="shared" si="3"/>
        <v>200</v>
      </c>
      <c r="B201" s="15"/>
      <c r="C201" s="16"/>
      <c r="D201" s="16" t="s">
        <v>229</v>
      </c>
      <c r="E201" s="17" t="s">
        <v>185</v>
      </c>
      <c r="F201" s="44"/>
      <c r="G201" s="19"/>
      <c r="H201" s="20"/>
    </row>
    <row r="202" spans="1:8" ht="18.75" x14ac:dyDescent="0.25">
      <c r="A202" s="14">
        <f t="shared" si="3"/>
        <v>201</v>
      </c>
      <c r="B202" s="15"/>
      <c r="C202" s="16"/>
      <c r="D202" s="16" t="s">
        <v>230</v>
      </c>
      <c r="E202" s="17" t="s">
        <v>185</v>
      </c>
      <c r="F202" s="44"/>
      <c r="G202" s="19"/>
      <c r="H202" s="20"/>
    </row>
    <row r="203" spans="1:8" ht="18.75" x14ac:dyDescent="0.25">
      <c r="A203" s="14">
        <f t="shared" si="3"/>
        <v>202</v>
      </c>
      <c r="B203" s="15"/>
      <c r="C203" s="16"/>
      <c r="D203" s="16" t="s">
        <v>231</v>
      </c>
      <c r="E203" s="17" t="s">
        <v>185</v>
      </c>
      <c r="F203" s="44"/>
      <c r="G203" s="19"/>
      <c r="H203" s="20"/>
    </row>
    <row r="204" spans="1:8" ht="18.75" x14ac:dyDescent="0.25">
      <c r="A204" s="14">
        <f t="shared" si="3"/>
        <v>203</v>
      </c>
      <c r="B204" s="15"/>
      <c r="C204" s="16"/>
      <c r="D204" s="16" t="s">
        <v>232</v>
      </c>
      <c r="E204" s="17" t="s">
        <v>185</v>
      </c>
      <c r="F204" s="44"/>
      <c r="G204" s="19"/>
      <c r="H204" s="20"/>
    </row>
    <row r="205" spans="1:8" ht="18.75" x14ac:dyDescent="0.25">
      <c r="A205" s="14">
        <f t="shared" si="3"/>
        <v>204</v>
      </c>
      <c r="B205" s="15"/>
      <c r="C205" s="16"/>
      <c r="D205" s="16" t="s">
        <v>233</v>
      </c>
      <c r="E205" s="17" t="s">
        <v>185</v>
      </c>
      <c r="F205" s="44"/>
      <c r="G205" s="19"/>
      <c r="H205" s="20"/>
    </row>
    <row r="206" spans="1:8" ht="18.75" x14ac:dyDescent="0.25">
      <c r="A206" s="14">
        <f t="shared" si="3"/>
        <v>205</v>
      </c>
      <c r="B206" s="15"/>
      <c r="C206" s="16"/>
      <c r="D206" s="16" t="s">
        <v>234</v>
      </c>
      <c r="E206" s="17" t="s">
        <v>185</v>
      </c>
      <c r="F206" s="44"/>
      <c r="G206" s="19"/>
      <c r="H206" s="20"/>
    </row>
    <row r="207" spans="1:8" ht="18.75" x14ac:dyDescent="0.25">
      <c r="A207" s="14">
        <f t="shared" si="3"/>
        <v>206</v>
      </c>
      <c r="B207" s="15"/>
      <c r="C207" s="16" t="s">
        <v>235</v>
      </c>
      <c r="D207" s="16"/>
      <c r="E207" s="17" t="s">
        <v>89</v>
      </c>
      <c r="F207" s="44"/>
      <c r="G207" s="19"/>
      <c r="H207" s="20"/>
    </row>
    <row r="208" spans="1:8" ht="18.75" x14ac:dyDescent="0.25">
      <c r="A208" s="14">
        <f t="shared" si="3"/>
        <v>207</v>
      </c>
      <c r="B208" s="15" t="s">
        <v>243</v>
      </c>
      <c r="C208" s="16"/>
      <c r="D208" s="16"/>
      <c r="E208" s="17"/>
      <c r="F208" s="44"/>
      <c r="G208" s="19"/>
      <c r="H208" s="20"/>
    </row>
    <row r="209" spans="1:8" ht="18.75" x14ac:dyDescent="0.25">
      <c r="A209" s="14">
        <f t="shared" si="3"/>
        <v>208</v>
      </c>
      <c r="B209" s="15"/>
      <c r="C209" s="16" t="s">
        <v>244</v>
      </c>
      <c r="D209" s="16"/>
      <c r="E209" s="17" t="s">
        <v>95</v>
      </c>
      <c r="F209" s="44"/>
      <c r="G209" s="19"/>
      <c r="H209" s="20"/>
    </row>
    <row r="210" spans="1:8" ht="18.75" x14ac:dyDescent="0.25">
      <c r="A210" s="14">
        <f t="shared" si="3"/>
        <v>209</v>
      </c>
      <c r="B210" s="15"/>
      <c r="C210" s="16" t="s">
        <v>274</v>
      </c>
      <c r="D210" s="16"/>
      <c r="E210" s="17" t="s">
        <v>101</v>
      </c>
      <c r="F210" s="44"/>
      <c r="G210" s="19"/>
      <c r="H210" s="20"/>
    </row>
    <row r="211" spans="1:8" ht="18.75" x14ac:dyDescent="0.25">
      <c r="A211" s="14">
        <f t="shared" si="3"/>
        <v>210</v>
      </c>
      <c r="B211" s="15"/>
      <c r="C211" s="16" t="s">
        <v>48</v>
      </c>
      <c r="D211" s="16"/>
      <c r="E211" s="17" t="s">
        <v>90</v>
      </c>
      <c r="F211" s="44"/>
      <c r="G211" s="19"/>
      <c r="H211" s="20"/>
    </row>
    <row r="212" spans="1:8" ht="18.75" x14ac:dyDescent="0.25">
      <c r="A212" s="14">
        <f t="shared" si="3"/>
        <v>211</v>
      </c>
      <c r="B212" s="15"/>
      <c r="C212" s="16" t="s">
        <v>49</v>
      </c>
      <c r="D212" s="16"/>
      <c r="E212" s="17" t="s">
        <v>90</v>
      </c>
      <c r="F212" s="44"/>
      <c r="G212" s="19"/>
      <c r="H212" s="20"/>
    </row>
    <row r="213" spans="1:8" ht="18.75" x14ac:dyDescent="0.25">
      <c r="A213" s="14">
        <f t="shared" si="3"/>
        <v>212</v>
      </c>
      <c r="B213" s="15"/>
      <c r="C213" s="16" t="s">
        <v>50</v>
      </c>
      <c r="D213" s="16"/>
      <c r="E213" s="17" t="s">
        <v>90</v>
      </c>
      <c r="F213" s="44"/>
      <c r="G213" s="19"/>
      <c r="H213" s="20"/>
    </row>
    <row r="214" spans="1:8" ht="18.75" x14ac:dyDescent="0.25">
      <c r="A214" s="14">
        <f t="shared" si="3"/>
        <v>213</v>
      </c>
      <c r="B214" s="15"/>
      <c r="C214" s="16" t="s">
        <v>245</v>
      </c>
      <c r="D214" s="16"/>
      <c r="E214" s="17" t="s">
        <v>90</v>
      </c>
      <c r="F214" s="44"/>
      <c r="G214" s="19"/>
      <c r="H214" s="20"/>
    </row>
    <row r="215" spans="1:8" ht="18.75" x14ac:dyDescent="0.25">
      <c r="A215" s="14">
        <f t="shared" si="3"/>
        <v>214</v>
      </c>
      <c r="B215" s="15"/>
      <c r="C215" s="16"/>
      <c r="D215" s="16" t="s">
        <v>339</v>
      </c>
      <c r="E215" s="17" t="s">
        <v>90</v>
      </c>
      <c r="F215" s="44"/>
      <c r="G215" s="19"/>
      <c r="H215" s="20"/>
    </row>
    <row r="216" spans="1:8" ht="18.75" x14ac:dyDescent="0.25">
      <c r="A216" s="14">
        <f t="shared" si="3"/>
        <v>215</v>
      </c>
      <c r="B216" s="15"/>
      <c r="C216" s="16"/>
      <c r="D216" s="16" t="s">
        <v>340</v>
      </c>
      <c r="E216" s="17" t="s">
        <v>90</v>
      </c>
      <c r="F216" s="44"/>
      <c r="G216" s="19"/>
      <c r="H216" s="20"/>
    </row>
    <row r="217" spans="1:8" ht="18.75" x14ac:dyDescent="0.25">
      <c r="A217" s="14">
        <f t="shared" si="3"/>
        <v>216</v>
      </c>
      <c r="B217" s="15" t="s">
        <v>246</v>
      </c>
      <c r="C217" s="16"/>
      <c r="D217" s="16"/>
      <c r="E217" s="17"/>
      <c r="F217" s="44"/>
      <c r="G217" s="19"/>
      <c r="H217" s="20"/>
    </row>
    <row r="218" spans="1:8" ht="18.75" x14ac:dyDescent="0.25">
      <c r="A218" s="14">
        <f t="shared" si="3"/>
        <v>217</v>
      </c>
      <c r="B218" s="15"/>
      <c r="C218" s="16" t="s">
        <v>247</v>
      </c>
      <c r="D218" s="16"/>
      <c r="E218" s="17" t="s">
        <v>249</v>
      </c>
      <c r="F218" s="44"/>
      <c r="G218" s="19"/>
      <c r="H218" s="20"/>
    </row>
    <row r="219" spans="1:8" ht="18.75" x14ac:dyDescent="0.25">
      <c r="A219" s="14">
        <f t="shared" si="3"/>
        <v>218</v>
      </c>
      <c r="B219" s="15"/>
      <c r="C219" s="16" t="s">
        <v>101</v>
      </c>
      <c r="D219" s="16"/>
      <c r="E219" s="17" t="s">
        <v>150</v>
      </c>
      <c r="F219" s="44"/>
      <c r="G219" s="19"/>
      <c r="H219" s="20"/>
    </row>
    <row r="220" spans="1:8" ht="18.75" x14ac:dyDescent="0.25">
      <c r="A220" s="14">
        <f t="shared" si="3"/>
        <v>219</v>
      </c>
      <c r="B220" s="15"/>
      <c r="C220" s="16" t="s">
        <v>53</v>
      </c>
      <c r="D220" s="16"/>
      <c r="E220" s="17" t="s">
        <v>150</v>
      </c>
      <c r="F220" s="44"/>
      <c r="G220" s="19"/>
      <c r="H220" s="20"/>
    </row>
    <row r="221" spans="1:8" ht="18.75" x14ac:dyDescent="0.25">
      <c r="A221" s="14">
        <f t="shared" si="3"/>
        <v>220</v>
      </c>
      <c r="B221" s="15"/>
      <c r="C221" s="16" t="s">
        <v>129</v>
      </c>
      <c r="D221" s="16"/>
      <c r="E221" s="17" t="s">
        <v>150</v>
      </c>
      <c r="F221" s="44"/>
      <c r="G221" s="19"/>
      <c r="H221" s="20"/>
    </row>
    <row r="222" spans="1:8" ht="18.75" x14ac:dyDescent="0.25">
      <c r="A222" s="14">
        <f t="shared" si="3"/>
        <v>221</v>
      </c>
      <c r="B222" s="15"/>
      <c r="C222" s="16" t="s">
        <v>143</v>
      </c>
      <c r="D222" s="16"/>
      <c r="E222" s="17" t="s">
        <v>150</v>
      </c>
      <c r="F222" s="44"/>
      <c r="G222" s="19"/>
      <c r="H222" s="20"/>
    </row>
    <row r="223" spans="1:8" ht="18.75" x14ac:dyDescent="0.25">
      <c r="A223" s="14">
        <f t="shared" si="3"/>
        <v>222</v>
      </c>
      <c r="B223" s="15"/>
      <c r="C223" s="16" t="s">
        <v>144</v>
      </c>
      <c r="D223" s="16"/>
      <c r="E223" s="17" t="s">
        <v>150</v>
      </c>
      <c r="F223" s="44"/>
      <c r="G223" s="19"/>
      <c r="H223" s="20"/>
    </row>
    <row r="224" spans="1:8" ht="18.75" x14ac:dyDescent="0.25">
      <c r="A224" s="14">
        <f t="shared" si="3"/>
        <v>223</v>
      </c>
      <c r="B224" s="15"/>
      <c r="C224" s="16" t="s">
        <v>145</v>
      </c>
      <c r="D224" s="16"/>
      <c r="E224" s="17" t="s">
        <v>150</v>
      </c>
      <c r="F224" s="44"/>
      <c r="G224" s="19"/>
      <c r="H224" s="20"/>
    </row>
    <row r="225" spans="1:8" ht="18.75" x14ac:dyDescent="0.25">
      <c r="A225" s="14">
        <f t="shared" si="3"/>
        <v>224</v>
      </c>
      <c r="B225" s="15"/>
      <c r="C225" s="16" t="s">
        <v>120</v>
      </c>
      <c r="D225" s="16"/>
      <c r="E225" s="17" t="s">
        <v>150</v>
      </c>
      <c r="F225" s="44"/>
      <c r="G225" s="19"/>
      <c r="H225" s="20"/>
    </row>
    <row r="226" spans="1:8" ht="18.75" x14ac:dyDescent="0.25">
      <c r="A226" s="14">
        <f t="shared" si="3"/>
        <v>225</v>
      </c>
      <c r="B226" s="15"/>
      <c r="C226" s="16" t="s">
        <v>146</v>
      </c>
      <c r="D226" s="16"/>
      <c r="E226" s="17" t="s">
        <v>150</v>
      </c>
      <c r="F226" s="44"/>
      <c r="G226" s="19"/>
      <c r="H226" s="20"/>
    </row>
    <row r="227" spans="1:8" ht="18.75" x14ac:dyDescent="0.25">
      <c r="A227" s="14">
        <f t="shared" si="3"/>
        <v>226</v>
      </c>
      <c r="B227" s="15"/>
      <c r="C227" s="16" t="s">
        <v>147</v>
      </c>
      <c r="D227" s="16"/>
      <c r="E227" s="17" t="s">
        <v>150</v>
      </c>
      <c r="F227" s="44"/>
      <c r="G227" s="19"/>
      <c r="H227" s="20"/>
    </row>
    <row r="228" spans="1:8" ht="18.75" x14ac:dyDescent="0.25">
      <c r="A228" s="14">
        <f t="shared" si="3"/>
        <v>227</v>
      </c>
      <c r="B228" s="15"/>
      <c r="C228" s="16" t="s">
        <v>148</v>
      </c>
      <c r="D228" s="16"/>
      <c r="E228" s="17" t="s">
        <v>150</v>
      </c>
      <c r="F228" s="44"/>
      <c r="G228" s="19"/>
      <c r="H228" s="20"/>
    </row>
    <row r="229" spans="1:8" ht="18.75" x14ac:dyDescent="0.25">
      <c r="A229" s="14">
        <f t="shared" si="3"/>
        <v>228</v>
      </c>
      <c r="B229" s="15"/>
      <c r="C229" s="16" t="s">
        <v>149</v>
      </c>
      <c r="D229" s="16"/>
      <c r="E229" s="17" t="s">
        <v>150</v>
      </c>
      <c r="F229" s="44"/>
      <c r="G229" s="19"/>
      <c r="H229" s="20"/>
    </row>
    <row r="230" spans="1:8" ht="18.75" x14ac:dyDescent="0.25">
      <c r="A230" s="14">
        <f t="shared" si="3"/>
        <v>229</v>
      </c>
      <c r="B230" s="15"/>
      <c r="C230" s="16" t="s">
        <v>116</v>
      </c>
      <c r="D230" s="16"/>
      <c r="E230" s="17" t="s">
        <v>150</v>
      </c>
      <c r="F230" s="44"/>
      <c r="G230" s="19"/>
      <c r="H230" s="20"/>
    </row>
    <row r="231" spans="1:8" ht="18.75" x14ac:dyDescent="0.25">
      <c r="A231" s="14">
        <f t="shared" si="3"/>
        <v>230</v>
      </c>
      <c r="B231" s="15"/>
      <c r="C231" s="16" t="s">
        <v>248</v>
      </c>
      <c r="D231" s="16"/>
      <c r="E231" s="17" t="s">
        <v>95</v>
      </c>
      <c r="F231" s="44"/>
      <c r="G231" s="19"/>
      <c r="H231" s="20"/>
    </row>
    <row r="232" spans="1:8" ht="18.75" x14ac:dyDescent="0.25">
      <c r="A232" s="14">
        <f t="shared" si="3"/>
        <v>231</v>
      </c>
      <c r="B232" s="15" t="s">
        <v>257</v>
      </c>
      <c r="C232" s="16"/>
      <c r="D232" s="16"/>
      <c r="E232" s="17"/>
      <c r="F232" s="44"/>
      <c r="G232" s="19"/>
      <c r="H232" s="20"/>
    </row>
    <row r="233" spans="1:8" ht="18.75" x14ac:dyDescent="0.25">
      <c r="A233" s="14">
        <f t="shared" si="3"/>
        <v>232</v>
      </c>
      <c r="B233" s="15"/>
      <c r="C233" s="16" t="s">
        <v>258</v>
      </c>
      <c r="D233" s="16"/>
      <c r="E233" s="17" t="s">
        <v>91</v>
      </c>
      <c r="F233" s="44"/>
      <c r="G233" s="19"/>
      <c r="H233" s="20"/>
    </row>
    <row r="234" spans="1:8" ht="18.75" x14ac:dyDescent="0.25">
      <c r="A234" s="14">
        <f t="shared" si="3"/>
        <v>233</v>
      </c>
      <c r="B234" s="15"/>
      <c r="C234" s="16" t="s">
        <v>259</v>
      </c>
      <c r="D234" s="16"/>
      <c r="E234" s="17" t="s">
        <v>91</v>
      </c>
      <c r="F234" s="44"/>
      <c r="G234" s="19"/>
      <c r="H234" s="20"/>
    </row>
    <row r="235" spans="1:8" ht="18.75" x14ac:dyDescent="0.25">
      <c r="A235" s="14">
        <f t="shared" si="3"/>
        <v>234</v>
      </c>
      <c r="B235" s="15"/>
      <c r="C235" s="16" t="s">
        <v>260</v>
      </c>
      <c r="D235" s="16"/>
      <c r="E235" s="17" t="s">
        <v>91</v>
      </c>
      <c r="F235" s="44"/>
      <c r="G235" s="19"/>
      <c r="H235" s="20"/>
    </row>
    <row r="236" spans="1:8" ht="18.75" x14ac:dyDescent="0.25">
      <c r="A236" s="14">
        <f t="shared" si="3"/>
        <v>235</v>
      </c>
      <c r="B236" s="15"/>
      <c r="C236" s="16" t="s">
        <v>261</v>
      </c>
      <c r="D236" s="16"/>
      <c r="E236" s="17" t="s">
        <v>91</v>
      </c>
      <c r="F236" s="44"/>
      <c r="G236" s="19"/>
      <c r="H236" s="20"/>
    </row>
    <row r="237" spans="1:8" ht="18.75" x14ac:dyDescent="0.25">
      <c r="A237" s="14">
        <f t="shared" si="3"/>
        <v>236</v>
      </c>
      <c r="B237" s="15"/>
      <c r="C237" s="16" t="s">
        <v>262</v>
      </c>
      <c r="D237" s="16"/>
      <c r="E237" s="17" t="s">
        <v>89</v>
      </c>
      <c r="F237" s="44"/>
      <c r="G237" s="19"/>
      <c r="H237" s="20"/>
    </row>
    <row r="238" spans="1:8" ht="18.75" x14ac:dyDescent="0.25">
      <c r="A238" s="14">
        <f t="shared" si="3"/>
        <v>237</v>
      </c>
      <c r="B238" s="15"/>
      <c r="C238" s="16" t="s">
        <v>263</v>
      </c>
      <c r="D238" s="16"/>
      <c r="E238" s="17"/>
      <c r="F238" s="44"/>
      <c r="G238" s="19"/>
      <c r="H238" s="20"/>
    </row>
    <row r="239" spans="1:8" ht="18.75" x14ac:dyDescent="0.25">
      <c r="A239" s="14">
        <f t="shared" si="3"/>
        <v>238</v>
      </c>
      <c r="B239" s="15"/>
      <c r="C239" s="16"/>
      <c r="D239" s="16" t="s">
        <v>264</v>
      </c>
      <c r="E239" s="17" t="s">
        <v>90</v>
      </c>
      <c r="F239" s="44"/>
      <c r="G239" s="19"/>
      <c r="H239" s="20"/>
    </row>
    <row r="240" spans="1:8" ht="18.75" x14ac:dyDescent="0.25">
      <c r="A240" s="14">
        <f t="shared" si="3"/>
        <v>239</v>
      </c>
      <c r="B240" s="15"/>
      <c r="C240" s="16"/>
      <c r="D240" s="16" t="s">
        <v>248</v>
      </c>
      <c r="E240" s="17" t="s">
        <v>95</v>
      </c>
      <c r="F240" s="44"/>
      <c r="G240" s="19"/>
      <c r="H240" s="20"/>
    </row>
    <row r="241" spans="1:8" ht="18.75" x14ac:dyDescent="0.25">
      <c r="A241" s="14">
        <f t="shared" si="3"/>
        <v>240</v>
      </c>
      <c r="B241" s="15" t="s">
        <v>276</v>
      </c>
      <c r="C241" s="21"/>
      <c r="D241" s="21"/>
      <c r="E241" s="18"/>
      <c r="F241" s="44"/>
      <c r="G241" s="19"/>
      <c r="H241" s="20"/>
    </row>
    <row r="242" spans="1:8" ht="18.75" x14ac:dyDescent="0.25">
      <c r="A242" s="14">
        <f t="shared" si="3"/>
        <v>241</v>
      </c>
      <c r="B242" s="15"/>
      <c r="C242" s="16" t="s">
        <v>16</v>
      </c>
      <c r="D242" s="16"/>
      <c r="E242" s="17" t="s">
        <v>158</v>
      </c>
      <c r="F242" s="44"/>
      <c r="G242" s="19"/>
      <c r="H242" s="20"/>
    </row>
    <row r="243" spans="1:8" ht="18.75" x14ac:dyDescent="0.25">
      <c r="A243" s="14">
        <f t="shared" si="3"/>
        <v>242</v>
      </c>
      <c r="B243" s="15"/>
      <c r="C243" s="16" t="s">
        <v>17</v>
      </c>
      <c r="D243" s="16"/>
      <c r="E243" s="17" t="s">
        <v>158</v>
      </c>
      <c r="F243" s="44"/>
      <c r="G243" s="19"/>
      <c r="H243" s="20"/>
    </row>
    <row r="244" spans="1:8" ht="18.75" x14ac:dyDescent="0.25">
      <c r="A244" s="14">
        <f t="shared" si="3"/>
        <v>243</v>
      </c>
      <c r="B244" s="15"/>
      <c r="C244" s="16" t="s">
        <v>18</v>
      </c>
      <c r="D244" s="16"/>
      <c r="E244" s="17" t="s">
        <v>158</v>
      </c>
      <c r="F244" s="44"/>
      <c r="G244" s="19"/>
      <c r="H244" s="20"/>
    </row>
    <row r="245" spans="1:8" ht="18.75" x14ac:dyDescent="0.25">
      <c r="A245" s="14">
        <f t="shared" si="3"/>
        <v>244</v>
      </c>
      <c r="B245" s="15"/>
      <c r="C245" s="16" t="s">
        <v>19</v>
      </c>
      <c r="D245" s="16"/>
      <c r="E245" s="17" t="s">
        <v>158</v>
      </c>
      <c r="F245" s="44"/>
      <c r="G245" s="19"/>
      <c r="H245" s="20"/>
    </row>
    <row r="246" spans="1:8" ht="18.75" x14ac:dyDescent="0.25">
      <c r="A246" s="14">
        <f t="shared" si="3"/>
        <v>245</v>
      </c>
      <c r="B246" s="15" t="s">
        <v>253</v>
      </c>
      <c r="C246" s="16"/>
      <c r="D246" s="16"/>
      <c r="E246" s="17"/>
      <c r="F246" s="44"/>
      <c r="G246" s="19"/>
      <c r="H246" s="20"/>
    </row>
    <row r="247" spans="1:8" ht="18.75" x14ac:dyDescent="0.25">
      <c r="A247" s="14">
        <f t="shared" si="3"/>
        <v>246</v>
      </c>
      <c r="B247" s="15"/>
      <c r="C247" s="16" t="s">
        <v>433</v>
      </c>
      <c r="D247" s="16"/>
      <c r="E247" s="17" t="s">
        <v>94</v>
      </c>
      <c r="F247" s="44"/>
      <c r="G247" s="19"/>
      <c r="H247" s="20"/>
    </row>
    <row r="248" spans="1:8" ht="18.75" x14ac:dyDescent="0.25">
      <c r="A248" s="14">
        <f t="shared" si="3"/>
        <v>247</v>
      </c>
      <c r="B248" s="15"/>
      <c r="C248" s="16" t="s">
        <v>254</v>
      </c>
      <c r="D248" s="16"/>
      <c r="E248" s="17" t="s">
        <v>91</v>
      </c>
      <c r="F248" s="44"/>
      <c r="G248" s="19"/>
      <c r="H248" s="20"/>
    </row>
    <row r="249" spans="1:8" ht="18.75" x14ac:dyDescent="0.25">
      <c r="A249" s="14">
        <f t="shared" si="3"/>
        <v>248</v>
      </c>
      <c r="B249" s="15" t="s">
        <v>255</v>
      </c>
      <c r="C249" s="16"/>
      <c r="D249" s="16"/>
      <c r="E249" s="17"/>
      <c r="F249" s="44"/>
      <c r="G249" s="19"/>
      <c r="H249" s="20"/>
    </row>
    <row r="250" spans="1:8" ht="18.75" x14ac:dyDescent="0.25">
      <c r="A250" s="14">
        <f t="shared" si="3"/>
        <v>249</v>
      </c>
      <c r="B250" s="15"/>
      <c r="C250" s="16" t="s">
        <v>106</v>
      </c>
      <c r="D250" s="16"/>
      <c r="E250" s="17" t="s">
        <v>89</v>
      </c>
      <c r="F250" s="44"/>
      <c r="G250" s="19"/>
      <c r="H250" s="20"/>
    </row>
    <row r="251" spans="1:8" ht="18.75" x14ac:dyDescent="0.25">
      <c r="A251" s="14">
        <f t="shared" si="3"/>
        <v>250</v>
      </c>
      <c r="B251" s="15"/>
      <c r="C251" s="16" t="s">
        <v>108</v>
      </c>
      <c r="D251" s="16"/>
      <c r="E251" s="17" t="s">
        <v>89</v>
      </c>
      <c r="F251" s="44"/>
      <c r="G251" s="19"/>
      <c r="H251" s="20"/>
    </row>
    <row r="252" spans="1:8" ht="18.75" x14ac:dyDescent="0.25">
      <c r="A252" s="14">
        <f t="shared" si="3"/>
        <v>251</v>
      </c>
      <c r="B252" s="15"/>
      <c r="C252" s="16" t="s">
        <v>109</v>
      </c>
      <c r="D252" s="16"/>
      <c r="E252" s="17" t="s">
        <v>89</v>
      </c>
      <c r="F252" s="44"/>
      <c r="G252" s="19"/>
      <c r="H252" s="20"/>
    </row>
    <row r="253" spans="1:8" ht="18.75" x14ac:dyDescent="0.25">
      <c r="A253" s="14">
        <f t="shared" si="3"/>
        <v>252</v>
      </c>
      <c r="B253" s="15"/>
      <c r="C253" s="16" t="s">
        <v>256</v>
      </c>
      <c r="D253" s="16"/>
      <c r="E253" s="17" t="s">
        <v>89</v>
      </c>
      <c r="F253" s="44"/>
      <c r="G253" s="19"/>
      <c r="H253" s="20"/>
    </row>
    <row r="254" spans="1:8" ht="18.75" x14ac:dyDescent="0.25">
      <c r="A254" s="14">
        <f t="shared" si="3"/>
        <v>253</v>
      </c>
      <c r="B254" s="15"/>
      <c r="C254" s="16" t="s">
        <v>115</v>
      </c>
      <c r="D254" s="16"/>
      <c r="E254" s="17" t="s">
        <v>90</v>
      </c>
      <c r="F254" s="44"/>
      <c r="G254" s="19"/>
      <c r="H254" s="20"/>
    </row>
    <row r="255" spans="1:8" ht="18.75" x14ac:dyDescent="0.25">
      <c r="A255" s="14">
        <f t="shared" si="3"/>
        <v>254</v>
      </c>
      <c r="B255" s="15"/>
      <c r="C255" s="16" t="s">
        <v>111</v>
      </c>
      <c r="D255" s="16"/>
      <c r="E255" s="17" t="s">
        <v>116</v>
      </c>
      <c r="F255" s="44"/>
      <c r="G255" s="19"/>
      <c r="H255" s="20"/>
    </row>
    <row r="256" spans="1:8" ht="18.75" x14ac:dyDescent="0.25">
      <c r="A256" s="14">
        <f t="shared" si="3"/>
        <v>255</v>
      </c>
      <c r="B256" s="15"/>
      <c r="C256" s="16"/>
      <c r="D256" s="16" t="s">
        <v>126</v>
      </c>
      <c r="E256" s="17" t="s">
        <v>90</v>
      </c>
      <c r="F256" s="44"/>
      <c r="G256" s="19"/>
      <c r="H256" s="20"/>
    </row>
    <row r="257" spans="1:8" ht="18.75" x14ac:dyDescent="0.25">
      <c r="A257" s="14">
        <f t="shared" si="3"/>
        <v>256</v>
      </c>
      <c r="B257" s="15"/>
      <c r="C257" s="16"/>
      <c r="D257" s="16" t="s">
        <v>127</v>
      </c>
      <c r="E257" s="17" t="s">
        <v>90</v>
      </c>
      <c r="F257" s="44"/>
      <c r="G257" s="19"/>
      <c r="H257" s="20"/>
    </row>
    <row r="258" spans="1:8" ht="18.75" x14ac:dyDescent="0.25">
      <c r="A258" s="14">
        <f t="shared" si="3"/>
        <v>257</v>
      </c>
      <c r="B258" s="15"/>
      <c r="C258" s="16" t="s">
        <v>101</v>
      </c>
      <c r="D258" s="16"/>
      <c r="E258" s="17" t="s">
        <v>150</v>
      </c>
      <c r="F258" s="44"/>
      <c r="G258" s="19"/>
      <c r="H258" s="20"/>
    </row>
    <row r="259" spans="1:8" ht="18.75" x14ac:dyDescent="0.25">
      <c r="A259" s="14">
        <f t="shared" si="3"/>
        <v>258</v>
      </c>
      <c r="B259" s="15"/>
      <c r="C259" s="16" t="s">
        <v>53</v>
      </c>
      <c r="D259" s="16"/>
      <c r="E259" s="17" t="s">
        <v>150</v>
      </c>
      <c r="F259" s="44"/>
      <c r="G259" s="19"/>
      <c r="H259" s="20"/>
    </row>
    <row r="260" spans="1:8" ht="18.75" x14ac:dyDescent="0.25">
      <c r="A260" s="14">
        <f t="shared" ref="A260:A323" si="4">+A259+1</f>
        <v>259</v>
      </c>
      <c r="B260" s="15"/>
      <c r="C260" s="16" t="s">
        <v>129</v>
      </c>
      <c r="D260" s="16"/>
      <c r="E260" s="17" t="s">
        <v>150</v>
      </c>
      <c r="F260" s="44"/>
      <c r="G260" s="19"/>
      <c r="H260" s="20"/>
    </row>
    <row r="261" spans="1:8" ht="18.75" x14ac:dyDescent="0.25">
      <c r="A261" s="14">
        <f t="shared" si="4"/>
        <v>260</v>
      </c>
      <c r="B261" s="15"/>
      <c r="C261" s="16" t="s">
        <v>143</v>
      </c>
      <c r="D261" s="16"/>
      <c r="E261" s="17" t="s">
        <v>150</v>
      </c>
      <c r="F261" s="44"/>
      <c r="G261" s="19"/>
      <c r="H261" s="20"/>
    </row>
    <row r="262" spans="1:8" ht="18.75" x14ac:dyDescent="0.25">
      <c r="A262" s="14">
        <f t="shared" si="4"/>
        <v>261</v>
      </c>
      <c r="B262" s="15"/>
      <c r="C262" s="16" t="s">
        <v>144</v>
      </c>
      <c r="D262" s="16"/>
      <c r="E262" s="17" t="s">
        <v>150</v>
      </c>
      <c r="F262" s="44"/>
      <c r="G262" s="19"/>
      <c r="H262" s="20"/>
    </row>
    <row r="263" spans="1:8" ht="18.75" x14ac:dyDescent="0.25">
      <c r="A263" s="14">
        <f t="shared" si="4"/>
        <v>262</v>
      </c>
      <c r="B263" s="15"/>
      <c r="C263" s="16" t="s">
        <v>145</v>
      </c>
      <c r="D263" s="16"/>
      <c r="E263" s="17" t="s">
        <v>150</v>
      </c>
      <c r="F263" s="44"/>
      <c r="G263" s="19"/>
      <c r="H263" s="20"/>
    </row>
    <row r="264" spans="1:8" ht="18.75" x14ac:dyDescent="0.25">
      <c r="A264" s="14">
        <f t="shared" si="4"/>
        <v>263</v>
      </c>
      <c r="B264" s="15"/>
      <c r="C264" s="16" t="s">
        <v>120</v>
      </c>
      <c r="D264" s="16"/>
      <c r="E264" s="17" t="s">
        <v>150</v>
      </c>
      <c r="F264" s="44"/>
      <c r="G264" s="19"/>
      <c r="H264" s="20"/>
    </row>
    <row r="265" spans="1:8" ht="18.75" x14ac:dyDescent="0.25">
      <c r="A265" s="14">
        <f t="shared" si="4"/>
        <v>264</v>
      </c>
      <c r="B265" s="15"/>
      <c r="C265" s="16" t="s">
        <v>146</v>
      </c>
      <c r="D265" s="16"/>
      <c r="E265" s="17" t="s">
        <v>150</v>
      </c>
      <c r="F265" s="44"/>
      <c r="G265" s="19"/>
      <c r="H265" s="20"/>
    </row>
    <row r="266" spans="1:8" ht="18.75" x14ac:dyDescent="0.25">
      <c r="A266" s="14">
        <f t="shared" si="4"/>
        <v>265</v>
      </c>
      <c r="B266" s="15"/>
      <c r="C266" s="16" t="s">
        <v>147</v>
      </c>
      <c r="D266" s="16"/>
      <c r="E266" s="17" t="s">
        <v>150</v>
      </c>
      <c r="F266" s="44"/>
      <c r="G266" s="19"/>
      <c r="H266" s="20"/>
    </row>
    <row r="267" spans="1:8" ht="18.75" x14ac:dyDescent="0.25">
      <c r="A267" s="14">
        <f t="shared" si="4"/>
        <v>266</v>
      </c>
      <c r="B267" s="15"/>
      <c r="C267" s="16" t="s">
        <v>148</v>
      </c>
      <c r="D267" s="16"/>
      <c r="E267" s="17" t="s">
        <v>150</v>
      </c>
      <c r="F267" s="44"/>
      <c r="G267" s="19"/>
      <c r="H267" s="20"/>
    </row>
    <row r="268" spans="1:8" ht="18.75" x14ac:dyDescent="0.25">
      <c r="A268" s="14">
        <f t="shared" si="4"/>
        <v>267</v>
      </c>
      <c r="B268" s="15"/>
      <c r="C268" s="16" t="s">
        <v>149</v>
      </c>
      <c r="D268" s="16"/>
      <c r="E268" s="17" t="s">
        <v>150</v>
      </c>
      <c r="F268" s="44"/>
      <c r="G268" s="19"/>
      <c r="H268" s="20"/>
    </row>
    <row r="269" spans="1:8" ht="18.75" x14ac:dyDescent="0.25">
      <c r="A269" s="14">
        <f t="shared" si="4"/>
        <v>268</v>
      </c>
      <c r="B269" s="15"/>
      <c r="C269" s="16" t="s">
        <v>116</v>
      </c>
      <c r="D269" s="16"/>
      <c r="E269" s="17" t="s">
        <v>150</v>
      </c>
      <c r="F269" s="44"/>
      <c r="G269" s="19"/>
      <c r="H269" s="20"/>
    </row>
    <row r="270" spans="1:8" ht="18.75" x14ac:dyDescent="0.25">
      <c r="A270" s="14">
        <f t="shared" si="4"/>
        <v>269</v>
      </c>
      <c r="B270" s="15"/>
      <c r="C270" s="16" t="s">
        <v>112</v>
      </c>
      <c r="D270" s="16"/>
      <c r="E270" s="17" t="s">
        <v>89</v>
      </c>
      <c r="F270" s="44"/>
      <c r="G270" s="19"/>
      <c r="H270" s="20"/>
    </row>
    <row r="271" spans="1:8" ht="18.75" x14ac:dyDescent="0.25">
      <c r="A271" s="14">
        <f t="shared" si="4"/>
        <v>270</v>
      </c>
      <c r="B271" s="15"/>
      <c r="C271" s="16" t="s">
        <v>113</v>
      </c>
      <c r="D271" s="16"/>
      <c r="E271" s="17" t="s">
        <v>117</v>
      </c>
      <c r="F271" s="44"/>
      <c r="G271" s="19"/>
      <c r="H271" s="20"/>
    </row>
    <row r="272" spans="1:8" ht="18.75" x14ac:dyDescent="0.25">
      <c r="A272" s="14">
        <f t="shared" si="4"/>
        <v>271</v>
      </c>
      <c r="B272" s="15"/>
      <c r="C272" s="16" t="s">
        <v>136</v>
      </c>
      <c r="D272" s="16"/>
      <c r="E272" s="17" t="s">
        <v>101</v>
      </c>
      <c r="F272" s="44"/>
      <c r="G272" s="19"/>
      <c r="H272" s="20"/>
    </row>
    <row r="273" spans="1:8" ht="18.75" x14ac:dyDescent="0.25">
      <c r="A273" s="14">
        <f t="shared" si="4"/>
        <v>272</v>
      </c>
      <c r="B273" s="15"/>
      <c r="C273" s="16"/>
      <c r="D273" s="16" t="s">
        <v>131</v>
      </c>
      <c r="E273" s="17" t="s">
        <v>90</v>
      </c>
      <c r="F273" s="44"/>
      <c r="G273" s="19"/>
      <c r="H273" s="20"/>
    </row>
    <row r="274" spans="1:8" ht="18.75" x14ac:dyDescent="0.25">
      <c r="A274" s="14">
        <f t="shared" si="4"/>
        <v>273</v>
      </c>
      <c r="B274" s="15"/>
      <c r="C274" s="16"/>
      <c r="D274" s="16" t="s">
        <v>135</v>
      </c>
      <c r="E274" s="17" t="s">
        <v>90</v>
      </c>
      <c r="F274" s="44"/>
      <c r="G274" s="19"/>
      <c r="H274" s="20"/>
    </row>
    <row r="275" spans="1:8" ht="18.75" x14ac:dyDescent="0.25">
      <c r="A275" s="14">
        <f t="shared" si="4"/>
        <v>274</v>
      </c>
      <c r="B275" s="15"/>
      <c r="C275" s="16" t="s">
        <v>114</v>
      </c>
      <c r="D275" s="16"/>
      <c r="E275" s="17" t="s">
        <v>89</v>
      </c>
      <c r="F275" s="44"/>
      <c r="G275" s="19"/>
      <c r="H275" s="20"/>
    </row>
    <row r="276" spans="1:8" ht="18.75" x14ac:dyDescent="0.25">
      <c r="A276" s="14">
        <f t="shared" si="4"/>
        <v>275</v>
      </c>
      <c r="B276" s="15"/>
      <c r="C276" s="16" t="s">
        <v>104</v>
      </c>
      <c r="D276" s="16"/>
      <c r="E276" s="17" t="s">
        <v>90</v>
      </c>
      <c r="F276" s="44"/>
      <c r="G276" s="19"/>
      <c r="H276" s="20"/>
    </row>
    <row r="277" spans="1:8" ht="18.75" x14ac:dyDescent="0.25">
      <c r="A277" s="14">
        <f t="shared" si="4"/>
        <v>276</v>
      </c>
      <c r="B277" s="15"/>
      <c r="C277" s="16" t="s">
        <v>105</v>
      </c>
      <c r="D277" s="16"/>
      <c r="E277" s="17" t="s">
        <v>90</v>
      </c>
      <c r="F277" s="44"/>
      <c r="G277" s="19"/>
      <c r="H277" s="20"/>
    </row>
    <row r="278" spans="1:8" ht="18.75" x14ac:dyDescent="0.25">
      <c r="A278" s="14">
        <f t="shared" si="4"/>
        <v>277</v>
      </c>
      <c r="B278" s="15" t="s">
        <v>265</v>
      </c>
      <c r="C278" s="16"/>
      <c r="D278" s="16"/>
      <c r="E278" s="17"/>
      <c r="F278" s="44"/>
      <c r="G278" s="19"/>
      <c r="H278" s="20"/>
    </row>
    <row r="279" spans="1:8" ht="18.75" x14ac:dyDescent="0.25">
      <c r="A279" s="14">
        <f t="shared" si="4"/>
        <v>278</v>
      </c>
      <c r="B279" s="15"/>
      <c r="C279" s="16" t="s">
        <v>433</v>
      </c>
      <c r="D279" s="16"/>
      <c r="E279" s="17" t="s">
        <v>94</v>
      </c>
      <c r="F279" s="44"/>
      <c r="G279" s="19"/>
      <c r="H279" s="20"/>
    </row>
    <row r="280" spans="1:8" ht="18.75" x14ac:dyDescent="0.25">
      <c r="A280" s="14">
        <f t="shared" si="4"/>
        <v>279</v>
      </c>
      <c r="B280" s="15"/>
      <c r="C280" s="16" t="s">
        <v>159</v>
      </c>
      <c r="D280" s="16"/>
      <c r="E280" s="17" t="s">
        <v>91</v>
      </c>
      <c r="F280" s="44"/>
      <c r="G280" s="19"/>
      <c r="H280" s="20"/>
    </row>
    <row r="281" spans="1:8" ht="18.75" x14ac:dyDescent="0.25">
      <c r="A281" s="14">
        <f t="shared" si="4"/>
        <v>280</v>
      </c>
      <c r="B281" s="15"/>
      <c r="C281" s="16" t="s">
        <v>266</v>
      </c>
      <c r="D281" s="16"/>
      <c r="E281" s="17" t="s">
        <v>91</v>
      </c>
      <c r="F281" s="44"/>
      <c r="G281" s="19"/>
      <c r="H281" s="20"/>
    </row>
    <row r="282" spans="1:8" ht="18.75" x14ac:dyDescent="0.25">
      <c r="A282" s="14">
        <f t="shared" si="4"/>
        <v>281</v>
      </c>
      <c r="B282" s="15"/>
      <c r="C282" s="16" t="s">
        <v>267</v>
      </c>
      <c r="D282" s="16"/>
      <c r="E282" s="17" t="s">
        <v>95</v>
      </c>
      <c r="F282" s="44"/>
      <c r="G282" s="19"/>
      <c r="H282" s="20"/>
    </row>
    <row r="283" spans="1:8" ht="18.75" x14ac:dyDescent="0.25">
      <c r="A283" s="14">
        <f t="shared" si="4"/>
        <v>282</v>
      </c>
      <c r="B283" s="15"/>
      <c r="C283" s="16"/>
      <c r="D283" s="16" t="s">
        <v>339</v>
      </c>
      <c r="E283" s="17" t="s">
        <v>90</v>
      </c>
      <c r="F283" s="44"/>
      <c r="G283" s="19"/>
      <c r="H283" s="20"/>
    </row>
    <row r="284" spans="1:8" ht="18.75" x14ac:dyDescent="0.25">
      <c r="A284" s="14">
        <f t="shared" si="4"/>
        <v>283</v>
      </c>
      <c r="B284" s="15"/>
      <c r="C284" s="16"/>
      <c r="D284" s="16" t="s">
        <v>340</v>
      </c>
      <c r="E284" s="17" t="s">
        <v>90</v>
      </c>
      <c r="F284" s="44"/>
      <c r="G284" s="19"/>
      <c r="H284" s="20"/>
    </row>
    <row r="285" spans="1:8" ht="18.75" x14ac:dyDescent="0.25">
      <c r="A285" s="14">
        <f t="shared" si="4"/>
        <v>284</v>
      </c>
      <c r="B285" s="15" t="s">
        <v>268</v>
      </c>
      <c r="C285" s="16"/>
      <c r="D285" s="16"/>
      <c r="E285" s="17"/>
      <c r="F285" s="44"/>
      <c r="G285" s="19"/>
      <c r="H285" s="20"/>
    </row>
    <row r="286" spans="1:8" ht="18.75" x14ac:dyDescent="0.25">
      <c r="A286" s="14">
        <f t="shared" si="4"/>
        <v>285</v>
      </c>
      <c r="B286" s="15"/>
      <c r="C286" s="16" t="s">
        <v>269</v>
      </c>
      <c r="D286" s="16"/>
      <c r="E286" s="17" t="s">
        <v>101</v>
      </c>
      <c r="F286" s="44"/>
      <c r="G286" s="19"/>
      <c r="H286" s="20"/>
    </row>
    <row r="287" spans="1:8" ht="18.75" x14ac:dyDescent="0.25">
      <c r="A287" s="14">
        <f t="shared" si="4"/>
        <v>286</v>
      </c>
      <c r="B287" s="15"/>
      <c r="C287" s="16" t="s">
        <v>109</v>
      </c>
      <c r="D287" s="16"/>
      <c r="E287" s="17" t="s">
        <v>89</v>
      </c>
      <c r="F287" s="44"/>
      <c r="G287" s="19"/>
      <c r="H287" s="20"/>
    </row>
    <row r="288" spans="1:8" ht="18.75" x14ac:dyDescent="0.25">
      <c r="A288" s="14">
        <f t="shared" si="4"/>
        <v>287</v>
      </c>
      <c r="B288" s="15"/>
      <c r="C288" s="16" t="s">
        <v>256</v>
      </c>
      <c r="D288" s="16"/>
      <c r="E288" s="17" t="s">
        <v>89</v>
      </c>
      <c r="F288" s="44"/>
      <c r="G288" s="19"/>
      <c r="H288" s="20"/>
    </row>
    <row r="289" spans="1:8" ht="18.75" x14ac:dyDescent="0.25">
      <c r="A289" s="14">
        <f t="shared" si="4"/>
        <v>288</v>
      </c>
      <c r="B289" s="15"/>
      <c r="C289" s="16" t="s">
        <v>115</v>
      </c>
      <c r="D289" s="16"/>
      <c r="E289" s="17" t="s">
        <v>90</v>
      </c>
      <c r="F289" s="44"/>
      <c r="G289" s="19"/>
      <c r="H289" s="20"/>
    </row>
    <row r="290" spans="1:8" ht="18.75" x14ac:dyDescent="0.25">
      <c r="A290" s="14">
        <f t="shared" si="4"/>
        <v>289</v>
      </c>
      <c r="B290" s="15"/>
      <c r="C290" s="16" t="s">
        <v>111</v>
      </c>
      <c r="D290" s="16"/>
      <c r="E290" s="17" t="s">
        <v>116</v>
      </c>
      <c r="F290" s="44"/>
      <c r="G290" s="19"/>
      <c r="H290" s="20"/>
    </row>
    <row r="291" spans="1:8" ht="18.75" x14ac:dyDescent="0.25">
      <c r="A291" s="14">
        <f t="shared" si="4"/>
        <v>290</v>
      </c>
      <c r="B291" s="15"/>
      <c r="C291" s="16"/>
      <c r="D291" s="16" t="s">
        <v>126</v>
      </c>
      <c r="E291" s="17" t="s">
        <v>90</v>
      </c>
      <c r="F291" s="44"/>
      <c r="G291" s="19"/>
      <c r="H291" s="20"/>
    </row>
    <row r="292" spans="1:8" ht="18.75" x14ac:dyDescent="0.25">
      <c r="A292" s="14">
        <f t="shared" si="4"/>
        <v>291</v>
      </c>
      <c r="B292" s="15"/>
      <c r="C292" s="16"/>
      <c r="D292" s="16" t="s">
        <v>127</v>
      </c>
      <c r="E292" s="17" t="s">
        <v>90</v>
      </c>
      <c r="F292" s="44"/>
      <c r="G292" s="19"/>
      <c r="H292" s="20"/>
    </row>
    <row r="293" spans="1:8" ht="18.75" x14ac:dyDescent="0.25">
      <c r="A293" s="14">
        <f t="shared" si="4"/>
        <v>292</v>
      </c>
      <c r="B293" s="15"/>
      <c r="C293" s="16" t="s">
        <v>101</v>
      </c>
      <c r="D293" s="16"/>
      <c r="E293" s="17" t="s">
        <v>150</v>
      </c>
      <c r="F293" s="44"/>
      <c r="G293" s="19"/>
      <c r="H293" s="20"/>
    </row>
    <row r="294" spans="1:8" ht="18.75" x14ac:dyDescent="0.25">
      <c r="A294" s="14">
        <f t="shared" si="4"/>
        <v>293</v>
      </c>
      <c r="B294" s="15"/>
      <c r="C294" s="16" t="s">
        <v>53</v>
      </c>
      <c r="D294" s="16"/>
      <c r="E294" s="17" t="s">
        <v>150</v>
      </c>
      <c r="F294" s="44"/>
      <c r="G294" s="19"/>
      <c r="H294" s="20"/>
    </row>
    <row r="295" spans="1:8" ht="18.75" x14ac:dyDescent="0.25">
      <c r="A295" s="14">
        <f t="shared" si="4"/>
        <v>294</v>
      </c>
      <c r="B295" s="15"/>
      <c r="C295" s="16" t="s">
        <v>129</v>
      </c>
      <c r="D295" s="16"/>
      <c r="E295" s="17" t="s">
        <v>150</v>
      </c>
      <c r="F295" s="44"/>
      <c r="G295" s="19"/>
      <c r="H295" s="20"/>
    </row>
    <row r="296" spans="1:8" ht="18.75" x14ac:dyDescent="0.25">
      <c r="A296" s="14">
        <f t="shared" si="4"/>
        <v>295</v>
      </c>
      <c r="B296" s="15"/>
      <c r="C296" s="16" t="s">
        <v>143</v>
      </c>
      <c r="D296" s="16"/>
      <c r="E296" s="17" t="s">
        <v>150</v>
      </c>
      <c r="F296" s="44"/>
      <c r="G296" s="19"/>
      <c r="H296" s="20"/>
    </row>
    <row r="297" spans="1:8" ht="18.75" x14ac:dyDescent="0.25">
      <c r="A297" s="14">
        <f t="shared" si="4"/>
        <v>296</v>
      </c>
      <c r="B297" s="15"/>
      <c r="C297" s="16" t="s">
        <v>144</v>
      </c>
      <c r="D297" s="16"/>
      <c r="E297" s="17" t="s">
        <v>150</v>
      </c>
      <c r="F297" s="44"/>
      <c r="G297" s="19"/>
      <c r="H297" s="20"/>
    </row>
    <row r="298" spans="1:8" ht="18.75" x14ac:dyDescent="0.25">
      <c r="A298" s="14">
        <f t="shared" si="4"/>
        <v>297</v>
      </c>
      <c r="B298" s="15"/>
      <c r="C298" s="16" t="s">
        <v>145</v>
      </c>
      <c r="D298" s="16"/>
      <c r="E298" s="17" t="s">
        <v>150</v>
      </c>
      <c r="F298" s="44"/>
      <c r="G298" s="19"/>
      <c r="H298" s="20"/>
    </row>
    <row r="299" spans="1:8" ht="18.75" x14ac:dyDescent="0.25">
      <c r="A299" s="14">
        <f t="shared" si="4"/>
        <v>298</v>
      </c>
      <c r="B299" s="15"/>
      <c r="C299" s="16" t="s">
        <v>120</v>
      </c>
      <c r="D299" s="16"/>
      <c r="E299" s="17" t="s">
        <v>150</v>
      </c>
      <c r="F299" s="44"/>
      <c r="G299" s="19"/>
      <c r="H299" s="20"/>
    </row>
    <row r="300" spans="1:8" ht="18.75" x14ac:dyDescent="0.25">
      <c r="A300" s="14">
        <f t="shared" si="4"/>
        <v>299</v>
      </c>
      <c r="B300" s="15"/>
      <c r="C300" s="16" t="s">
        <v>146</v>
      </c>
      <c r="D300" s="16"/>
      <c r="E300" s="17" t="s">
        <v>150</v>
      </c>
      <c r="F300" s="44"/>
      <c r="G300" s="19"/>
      <c r="H300" s="20"/>
    </row>
    <row r="301" spans="1:8" ht="18.75" x14ac:dyDescent="0.25">
      <c r="A301" s="14">
        <f t="shared" si="4"/>
        <v>300</v>
      </c>
      <c r="B301" s="15"/>
      <c r="C301" s="16" t="s">
        <v>147</v>
      </c>
      <c r="D301" s="16"/>
      <c r="E301" s="17" t="s">
        <v>150</v>
      </c>
      <c r="F301" s="44"/>
      <c r="G301" s="19"/>
      <c r="H301" s="20"/>
    </row>
    <row r="302" spans="1:8" ht="18.75" x14ac:dyDescent="0.25">
      <c r="A302" s="14">
        <f t="shared" si="4"/>
        <v>301</v>
      </c>
      <c r="B302" s="15"/>
      <c r="C302" s="16" t="s">
        <v>148</v>
      </c>
      <c r="D302" s="16"/>
      <c r="E302" s="17" t="s">
        <v>150</v>
      </c>
      <c r="F302" s="44"/>
      <c r="G302" s="19"/>
      <c r="H302" s="20"/>
    </row>
    <row r="303" spans="1:8" ht="18.75" x14ac:dyDescent="0.25">
      <c r="A303" s="14">
        <f t="shared" si="4"/>
        <v>302</v>
      </c>
      <c r="B303" s="15"/>
      <c r="C303" s="16" t="s">
        <v>149</v>
      </c>
      <c r="D303" s="16"/>
      <c r="E303" s="17" t="s">
        <v>150</v>
      </c>
      <c r="F303" s="44"/>
      <c r="G303" s="19"/>
      <c r="H303" s="20"/>
    </row>
    <row r="304" spans="1:8" ht="18.75" x14ac:dyDescent="0.25">
      <c r="A304" s="14">
        <f t="shared" si="4"/>
        <v>303</v>
      </c>
      <c r="B304" s="15"/>
      <c r="C304" s="16" t="s">
        <v>116</v>
      </c>
      <c r="D304" s="16"/>
      <c r="E304" s="17" t="s">
        <v>150</v>
      </c>
      <c r="F304" s="44"/>
      <c r="G304" s="19"/>
      <c r="H304" s="20"/>
    </row>
    <row r="305" spans="1:8" ht="18.75" x14ac:dyDescent="0.25">
      <c r="A305" s="14">
        <f t="shared" si="4"/>
        <v>304</v>
      </c>
      <c r="B305" s="15"/>
      <c r="C305" s="16" t="s">
        <v>112</v>
      </c>
      <c r="D305" s="16"/>
      <c r="E305" s="17" t="s">
        <v>89</v>
      </c>
      <c r="F305" s="44"/>
      <c r="G305" s="19"/>
      <c r="H305" s="20"/>
    </row>
    <row r="306" spans="1:8" ht="18.75" x14ac:dyDescent="0.25">
      <c r="A306" s="14">
        <f t="shared" si="4"/>
        <v>305</v>
      </c>
      <c r="B306" s="15"/>
      <c r="C306" s="16" t="s">
        <v>113</v>
      </c>
      <c r="D306" s="16"/>
      <c r="E306" s="17" t="s">
        <v>117</v>
      </c>
      <c r="F306" s="44"/>
      <c r="G306" s="19"/>
      <c r="H306" s="20"/>
    </row>
    <row r="307" spans="1:8" ht="18.75" x14ac:dyDescent="0.25">
      <c r="A307" s="14">
        <f t="shared" si="4"/>
        <v>306</v>
      </c>
      <c r="B307" s="15"/>
      <c r="C307" s="16" t="s">
        <v>136</v>
      </c>
      <c r="D307" s="16"/>
      <c r="E307" s="17" t="s">
        <v>101</v>
      </c>
      <c r="F307" s="44"/>
      <c r="G307" s="19"/>
      <c r="H307" s="20"/>
    </row>
    <row r="308" spans="1:8" ht="18.75" x14ac:dyDescent="0.25">
      <c r="A308" s="14">
        <f t="shared" si="4"/>
        <v>307</v>
      </c>
      <c r="B308" s="15"/>
      <c r="C308" s="16"/>
      <c r="D308" s="16" t="s">
        <v>131</v>
      </c>
      <c r="E308" s="17" t="s">
        <v>90</v>
      </c>
      <c r="F308" s="44"/>
      <c r="G308" s="19"/>
      <c r="H308" s="20"/>
    </row>
    <row r="309" spans="1:8" ht="18.75" x14ac:dyDescent="0.25">
      <c r="A309" s="14">
        <f t="shared" si="4"/>
        <v>308</v>
      </c>
      <c r="B309" s="15"/>
      <c r="C309" s="16"/>
      <c r="D309" s="16" t="s">
        <v>135</v>
      </c>
      <c r="E309" s="17" t="s">
        <v>90</v>
      </c>
      <c r="F309" s="44"/>
      <c r="G309" s="19"/>
      <c r="H309" s="20"/>
    </row>
    <row r="310" spans="1:8" ht="18.75" x14ac:dyDescent="0.25">
      <c r="A310" s="14">
        <f t="shared" si="4"/>
        <v>309</v>
      </c>
      <c r="B310" s="15"/>
      <c r="C310" s="16" t="s">
        <v>114</v>
      </c>
      <c r="D310" s="16"/>
      <c r="E310" s="17" t="s">
        <v>89</v>
      </c>
      <c r="F310" s="44"/>
      <c r="G310" s="19"/>
      <c r="H310" s="20"/>
    </row>
    <row r="311" spans="1:8" ht="18.75" x14ac:dyDescent="0.25">
      <c r="A311" s="14">
        <f t="shared" si="4"/>
        <v>310</v>
      </c>
      <c r="B311" s="15"/>
      <c r="C311" s="16" t="s">
        <v>104</v>
      </c>
      <c r="D311" s="16"/>
      <c r="E311" s="17" t="s">
        <v>90</v>
      </c>
      <c r="F311" s="44"/>
      <c r="G311" s="19"/>
      <c r="H311" s="20"/>
    </row>
    <row r="312" spans="1:8" ht="18.75" x14ac:dyDescent="0.25">
      <c r="A312" s="14">
        <f t="shared" si="4"/>
        <v>311</v>
      </c>
      <c r="B312" s="15"/>
      <c r="C312" s="16" t="s">
        <v>105</v>
      </c>
      <c r="D312" s="16"/>
      <c r="E312" s="17" t="s">
        <v>90</v>
      </c>
      <c r="F312" s="44"/>
      <c r="G312" s="19"/>
      <c r="H312" s="20"/>
    </row>
    <row r="313" spans="1:8" ht="18.75" x14ac:dyDescent="0.25">
      <c r="A313" s="14">
        <f t="shared" si="4"/>
        <v>312</v>
      </c>
      <c r="B313" s="15" t="s">
        <v>270</v>
      </c>
      <c r="C313" s="16"/>
      <c r="D313" s="16"/>
      <c r="E313" s="17"/>
      <c r="F313" s="44"/>
      <c r="G313" s="19"/>
      <c r="H313" s="20"/>
    </row>
    <row r="314" spans="1:8" ht="18.75" x14ac:dyDescent="0.25">
      <c r="A314" s="14">
        <f t="shared" si="4"/>
        <v>313</v>
      </c>
      <c r="B314" s="15"/>
      <c r="C314" s="16" t="s">
        <v>433</v>
      </c>
      <c r="D314" s="16"/>
      <c r="E314" s="17" t="s">
        <v>94</v>
      </c>
      <c r="F314" s="44"/>
      <c r="G314" s="19"/>
      <c r="H314" s="20"/>
    </row>
    <row r="315" spans="1:8" ht="18.75" x14ac:dyDescent="0.25">
      <c r="A315" s="14">
        <f t="shared" si="4"/>
        <v>314</v>
      </c>
      <c r="B315" s="15"/>
      <c r="C315" s="16" t="s">
        <v>159</v>
      </c>
      <c r="D315" s="16"/>
      <c r="E315" s="17" t="s">
        <v>91</v>
      </c>
      <c r="F315" s="44"/>
      <c r="G315" s="19"/>
      <c r="H315" s="20"/>
    </row>
    <row r="316" spans="1:8" ht="18.75" x14ac:dyDescent="0.25">
      <c r="A316" s="14">
        <f t="shared" si="4"/>
        <v>315</v>
      </c>
      <c r="B316" s="15"/>
      <c r="C316" s="16" t="s">
        <v>275</v>
      </c>
      <c r="D316" s="16"/>
      <c r="E316" s="17" t="s">
        <v>90</v>
      </c>
      <c r="F316" s="44"/>
      <c r="G316" s="19"/>
      <c r="H316" s="20"/>
    </row>
    <row r="317" spans="1:8" ht="18.75" x14ac:dyDescent="0.25">
      <c r="A317" s="14">
        <f t="shared" si="4"/>
        <v>316</v>
      </c>
      <c r="B317" s="15" t="s">
        <v>277</v>
      </c>
      <c r="C317" s="16"/>
      <c r="D317" s="16"/>
      <c r="E317" s="17"/>
      <c r="F317" s="44"/>
      <c r="G317" s="19"/>
      <c r="H317" s="20"/>
    </row>
    <row r="318" spans="1:8" ht="18.75" x14ac:dyDescent="0.25">
      <c r="A318" s="14">
        <f t="shared" si="4"/>
        <v>317</v>
      </c>
      <c r="B318" s="15"/>
      <c r="C318" s="16" t="s">
        <v>433</v>
      </c>
      <c r="D318" s="16"/>
      <c r="E318" s="17" t="s">
        <v>94</v>
      </c>
      <c r="F318" s="44"/>
      <c r="G318" s="19"/>
      <c r="H318" s="20"/>
    </row>
    <row r="319" spans="1:8" ht="18.75" x14ac:dyDescent="0.25">
      <c r="A319" s="14">
        <f t="shared" si="4"/>
        <v>318</v>
      </c>
      <c r="B319" s="15"/>
      <c r="C319" s="16" t="s">
        <v>159</v>
      </c>
      <c r="D319" s="16"/>
      <c r="E319" s="17" t="s">
        <v>91</v>
      </c>
      <c r="F319" s="44"/>
      <c r="G319" s="19"/>
      <c r="H319" s="20"/>
    </row>
    <row r="320" spans="1:8" ht="18.75" x14ac:dyDescent="0.25">
      <c r="A320" s="14">
        <f t="shared" si="4"/>
        <v>319</v>
      </c>
      <c r="B320" s="15" t="s">
        <v>278</v>
      </c>
      <c r="C320" s="16"/>
      <c r="D320" s="16"/>
      <c r="E320" s="17"/>
      <c r="F320" s="44"/>
      <c r="G320" s="19"/>
      <c r="H320" s="20"/>
    </row>
    <row r="321" spans="1:8" ht="18.75" x14ac:dyDescent="0.25">
      <c r="A321" s="14">
        <f t="shared" si="4"/>
        <v>320</v>
      </c>
      <c r="B321" s="15"/>
      <c r="C321" s="16" t="s">
        <v>269</v>
      </c>
      <c r="D321" s="16"/>
      <c r="E321" s="17" t="s">
        <v>101</v>
      </c>
      <c r="F321" s="44"/>
      <c r="G321" s="19"/>
      <c r="H321" s="20"/>
    </row>
    <row r="322" spans="1:8" ht="18.75" x14ac:dyDescent="0.25">
      <c r="A322" s="14">
        <f t="shared" si="4"/>
        <v>321</v>
      </c>
      <c r="B322" s="15"/>
      <c r="C322" s="16" t="s">
        <v>108</v>
      </c>
      <c r="D322" s="16"/>
      <c r="E322" s="17" t="s">
        <v>101</v>
      </c>
      <c r="F322" s="44"/>
      <c r="G322" s="19"/>
      <c r="H322" s="20"/>
    </row>
    <row r="323" spans="1:8" ht="18.75" x14ac:dyDescent="0.25">
      <c r="A323" s="14">
        <f t="shared" si="4"/>
        <v>322</v>
      </c>
      <c r="B323" s="15"/>
      <c r="C323" s="16" t="s">
        <v>109</v>
      </c>
      <c r="D323" s="16"/>
      <c r="E323" s="17" t="s">
        <v>101</v>
      </c>
      <c r="F323" s="44"/>
      <c r="G323" s="19"/>
      <c r="H323" s="20"/>
    </row>
    <row r="324" spans="1:8" ht="18.75" x14ac:dyDescent="0.25">
      <c r="A324" s="14">
        <f t="shared" ref="A324:A387" si="5">+A323+1</f>
        <v>323</v>
      </c>
      <c r="B324" s="15"/>
      <c r="C324" s="16" t="s">
        <v>110</v>
      </c>
      <c r="D324" s="16"/>
      <c r="E324" s="17" t="s">
        <v>101</v>
      </c>
      <c r="F324" s="44"/>
      <c r="G324" s="19"/>
      <c r="H324" s="20"/>
    </row>
    <row r="325" spans="1:8" ht="18.75" x14ac:dyDescent="0.25">
      <c r="A325" s="14">
        <f t="shared" si="5"/>
        <v>324</v>
      </c>
      <c r="B325" s="15"/>
      <c r="C325" s="16" t="s">
        <v>111</v>
      </c>
      <c r="D325" s="16"/>
      <c r="E325" s="17" t="s">
        <v>116</v>
      </c>
      <c r="F325" s="44"/>
      <c r="G325" s="19"/>
      <c r="H325" s="20"/>
    </row>
    <row r="326" spans="1:8" ht="18.75" x14ac:dyDescent="0.25">
      <c r="A326" s="14">
        <f t="shared" si="5"/>
        <v>325</v>
      </c>
      <c r="B326" s="15"/>
      <c r="C326" s="16"/>
      <c r="D326" s="16" t="s">
        <v>126</v>
      </c>
      <c r="E326" s="17" t="s">
        <v>90</v>
      </c>
      <c r="F326" s="44"/>
      <c r="G326" s="19"/>
      <c r="H326" s="20"/>
    </row>
    <row r="327" spans="1:8" ht="18.75" x14ac:dyDescent="0.25">
      <c r="A327" s="14">
        <f t="shared" si="5"/>
        <v>326</v>
      </c>
      <c r="B327" s="15"/>
      <c r="C327" s="16"/>
      <c r="D327" s="16" t="s">
        <v>127</v>
      </c>
      <c r="E327" s="17" t="s">
        <v>90</v>
      </c>
      <c r="F327" s="44"/>
      <c r="G327" s="19"/>
      <c r="H327" s="20"/>
    </row>
    <row r="328" spans="1:8" ht="18.75" x14ac:dyDescent="0.25">
      <c r="A328" s="14">
        <f t="shared" si="5"/>
        <v>327</v>
      </c>
      <c r="B328" s="15"/>
      <c r="C328" s="16" t="s">
        <v>101</v>
      </c>
      <c r="D328" s="16"/>
      <c r="E328" s="17" t="s">
        <v>150</v>
      </c>
      <c r="F328" s="44"/>
      <c r="G328" s="19"/>
      <c r="H328" s="20"/>
    </row>
    <row r="329" spans="1:8" ht="18.75" x14ac:dyDescent="0.25">
      <c r="A329" s="14">
        <f t="shared" si="5"/>
        <v>328</v>
      </c>
      <c r="B329" s="15"/>
      <c r="C329" s="16" t="s">
        <v>53</v>
      </c>
      <c r="D329" s="16"/>
      <c r="E329" s="17" t="s">
        <v>150</v>
      </c>
      <c r="F329" s="44"/>
      <c r="G329" s="19"/>
      <c r="H329" s="20"/>
    </row>
    <row r="330" spans="1:8" ht="18.75" x14ac:dyDescent="0.25">
      <c r="A330" s="14">
        <f t="shared" si="5"/>
        <v>329</v>
      </c>
      <c r="B330" s="15"/>
      <c r="C330" s="16" t="s">
        <v>129</v>
      </c>
      <c r="D330" s="16"/>
      <c r="E330" s="17" t="s">
        <v>150</v>
      </c>
      <c r="F330" s="44"/>
      <c r="G330" s="19"/>
      <c r="H330" s="20"/>
    </row>
    <row r="331" spans="1:8" ht="18.75" x14ac:dyDescent="0.25">
      <c r="A331" s="14">
        <f t="shared" si="5"/>
        <v>330</v>
      </c>
      <c r="B331" s="15"/>
      <c r="C331" s="16" t="s">
        <v>143</v>
      </c>
      <c r="D331" s="16"/>
      <c r="E331" s="17" t="s">
        <v>150</v>
      </c>
      <c r="F331" s="44"/>
      <c r="G331" s="19"/>
      <c r="H331" s="20"/>
    </row>
    <row r="332" spans="1:8" ht="18.75" x14ac:dyDescent="0.25">
      <c r="A332" s="14">
        <f t="shared" si="5"/>
        <v>331</v>
      </c>
      <c r="B332" s="15"/>
      <c r="C332" s="16" t="s">
        <v>144</v>
      </c>
      <c r="D332" s="16"/>
      <c r="E332" s="17" t="s">
        <v>150</v>
      </c>
      <c r="F332" s="44"/>
      <c r="G332" s="19"/>
      <c r="H332" s="20"/>
    </row>
    <row r="333" spans="1:8" ht="18.75" x14ac:dyDescent="0.25">
      <c r="A333" s="14">
        <f t="shared" si="5"/>
        <v>332</v>
      </c>
      <c r="B333" s="15"/>
      <c r="C333" s="16" t="s">
        <v>145</v>
      </c>
      <c r="D333" s="16"/>
      <c r="E333" s="17" t="s">
        <v>150</v>
      </c>
      <c r="F333" s="44"/>
      <c r="G333" s="19"/>
      <c r="H333" s="20"/>
    </row>
    <row r="334" spans="1:8" ht="18.75" x14ac:dyDescent="0.25">
      <c r="A334" s="14">
        <f t="shared" si="5"/>
        <v>333</v>
      </c>
      <c r="B334" s="15"/>
      <c r="C334" s="16" t="s">
        <v>120</v>
      </c>
      <c r="D334" s="16"/>
      <c r="E334" s="17" t="s">
        <v>150</v>
      </c>
      <c r="F334" s="44"/>
      <c r="G334" s="19"/>
      <c r="H334" s="20"/>
    </row>
    <row r="335" spans="1:8" ht="18.75" x14ac:dyDescent="0.25">
      <c r="A335" s="14">
        <f t="shared" si="5"/>
        <v>334</v>
      </c>
      <c r="B335" s="15"/>
      <c r="C335" s="16" t="s">
        <v>146</v>
      </c>
      <c r="D335" s="16"/>
      <c r="E335" s="17" t="s">
        <v>150</v>
      </c>
      <c r="F335" s="44"/>
      <c r="G335" s="19"/>
      <c r="H335" s="20"/>
    </row>
    <row r="336" spans="1:8" ht="18.75" x14ac:dyDescent="0.25">
      <c r="A336" s="14">
        <f t="shared" si="5"/>
        <v>335</v>
      </c>
      <c r="B336" s="15"/>
      <c r="C336" s="16" t="s">
        <v>147</v>
      </c>
      <c r="D336" s="16"/>
      <c r="E336" s="17" t="s">
        <v>150</v>
      </c>
      <c r="F336" s="44"/>
      <c r="G336" s="19"/>
      <c r="H336" s="20"/>
    </row>
    <row r="337" spans="1:8" ht="18.75" x14ac:dyDescent="0.25">
      <c r="A337" s="14">
        <f t="shared" si="5"/>
        <v>336</v>
      </c>
      <c r="B337" s="15"/>
      <c r="C337" s="16" t="s">
        <v>148</v>
      </c>
      <c r="D337" s="16"/>
      <c r="E337" s="17" t="s">
        <v>150</v>
      </c>
      <c r="F337" s="44"/>
      <c r="G337" s="19"/>
      <c r="H337" s="20"/>
    </row>
    <row r="338" spans="1:8" ht="18.75" x14ac:dyDescent="0.25">
      <c r="A338" s="14">
        <f t="shared" si="5"/>
        <v>337</v>
      </c>
      <c r="B338" s="15"/>
      <c r="C338" s="16" t="s">
        <v>149</v>
      </c>
      <c r="D338" s="16"/>
      <c r="E338" s="17" t="s">
        <v>150</v>
      </c>
      <c r="F338" s="44"/>
      <c r="G338" s="19"/>
      <c r="H338" s="20"/>
    </row>
    <row r="339" spans="1:8" ht="18.75" x14ac:dyDescent="0.25">
      <c r="A339" s="14">
        <f t="shared" si="5"/>
        <v>338</v>
      </c>
      <c r="B339" s="15"/>
      <c r="C339" s="16" t="s">
        <v>116</v>
      </c>
      <c r="D339" s="16"/>
      <c r="E339" s="17" t="s">
        <v>150</v>
      </c>
      <c r="F339" s="44"/>
      <c r="G339" s="19"/>
      <c r="H339" s="20"/>
    </row>
    <row r="340" spans="1:8" ht="18.75" x14ac:dyDescent="0.25">
      <c r="A340" s="14">
        <f t="shared" si="5"/>
        <v>339</v>
      </c>
      <c r="B340" s="15"/>
      <c r="C340" s="16" t="s">
        <v>112</v>
      </c>
      <c r="D340" s="16"/>
      <c r="E340" s="17" t="s">
        <v>101</v>
      </c>
      <c r="F340" s="44"/>
      <c r="G340" s="19"/>
      <c r="H340" s="20"/>
    </row>
    <row r="341" spans="1:8" ht="18.75" x14ac:dyDescent="0.25">
      <c r="A341" s="14">
        <f t="shared" si="5"/>
        <v>340</v>
      </c>
      <c r="B341" s="15"/>
      <c r="C341" s="16" t="s">
        <v>279</v>
      </c>
      <c r="D341" s="16"/>
      <c r="E341" s="17" t="s">
        <v>101</v>
      </c>
      <c r="F341" s="44"/>
      <c r="G341" s="19"/>
      <c r="H341" s="20"/>
    </row>
    <row r="342" spans="1:8" ht="18.75" x14ac:dyDescent="0.25">
      <c r="A342" s="14">
        <f t="shared" si="5"/>
        <v>341</v>
      </c>
      <c r="B342" s="15"/>
      <c r="C342" s="16" t="s">
        <v>280</v>
      </c>
      <c r="D342" s="16"/>
      <c r="E342" s="17" t="s">
        <v>101</v>
      </c>
      <c r="F342" s="44"/>
      <c r="G342" s="19"/>
      <c r="H342" s="20"/>
    </row>
    <row r="343" spans="1:8" ht="18.75" x14ac:dyDescent="0.25">
      <c r="A343" s="14">
        <f t="shared" si="5"/>
        <v>342</v>
      </c>
      <c r="B343" s="15"/>
      <c r="C343" s="16" t="s">
        <v>114</v>
      </c>
      <c r="D343" s="16"/>
      <c r="E343" s="17" t="s">
        <v>89</v>
      </c>
      <c r="F343" s="44"/>
      <c r="G343" s="19"/>
      <c r="H343" s="20"/>
    </row>
    <row r="344" spans="1:8" ht="18.75" x14ac:dyDescent="0.25">
      <c r="A344" s="14">
        <f t="shared" si="5"/>
        <v>343</v>
      </c>
      <c r="B344" s="15" t="s">
        <v>304</v>
      </c>
      <c r="C344" s="16"/>
      <c r="D344" s="16"/>
      <c r="E344" s="17"/>
      <c r="F344" s="44"/>
      <c r="G344" s="19"/>
      <c r="H344" s="20"/>
    </row>
    <row r="345" spans="1:8" ht="18.75" x14ac:dyDescent="0.25">
      <c r="A345" s="14">
        <f t="shared" si="5"/>
        <v>344</v>
      </c>
      <c r="B345" s="15"/>
      <c r="C345" s="16" t="s">
        <v>5</v>
      </c>
      <c r="D345" s="16"/>
      <c r="E345" s="17" t="s">
        <v>158</v>
      </c>
      <c r="F345" s="44"/>
      <c r="G345" s="19"/>
      <c r="H345" s="20"/>
    </row>
    <row r="346" spans="1:8" ht="18.75" x14ac:dyDescent="0.25">
      <c r="A346" s="14">
        <f t="shared" si="5"/>
        <v>345</v>
      </c>
      <c r="B346" s="15"/>
      <c r="C346" s="16" t="s">
        <v>60</v>
      </c>
      <c r="D346" s="16"/>
      <c r="E346" s="17" t="s">
        <v>158</v>
      </c>
      <c r="F346" s="44"/>
      <c r="G346" s="19"/>
      <c r="H346" s="20"/>
    </row>
    <row r="347" spans="1:8" ht="18.75" x14ac:dyDescent="0.25">
      <c r="A347" s="14">
        <f t="shared" si="5"/>
        <v>346</v>
      </c>
      <c r="B347" s="15"/>
      <c r="C347" s="16" t="s">
        <v>61</v>
      </c>
      <c r="D347" s="16"/>
      <c r="E347" s="17" t="s">
        <v>158</v>
      </c>
      <c r="F347" s="44"/>
      <c r="G347" s="19"/>
      <c r="H347" s="20"/>
    </row>
    <row r="348" spans="1:8" ht="18.75" x14ac:dyDescent="0.25">
      <c r="A348" s="14">
        <f t="shared" si="5"/>
        <v>347</v>
      </c>
      <c r="B348" s="15" t="s">
        <v>305</v>
      </c>
      <c r="C348" s="16"/>
      <c r="D348" s="16"/>
      <c r="E348" s="17"/>
      <c r="F348" s="44"/>
      <c r="G348" s="19"/>
      <c r="H348" s="20"/>
    </row>
    <row r="349" spans="1:8" ht="18.75" x14ac:dyDescent="0.25">
      <c r="A349" s="14">
        <f t="shared" si="5"/>
        <v>348</v>
      </c>
      <c r="B349" s="15"/>
      <c r="C349" s="16" t="s">
        <v>28</v>
      </c>
      <c r="D349" s="16"/>
      <c r="E349" s="17" t="s">
        <v>158</v>
      </c>
      <c r="F349" s="44"/>
      <c r="G349" s="19"/>
      <c r="H349" s="20"/>
    </row>
    <row r="350" spans="1:8" ht="18.75" x14ac:dyDescent="0.25">
      <c r="A350" s="14">
        <f t="shared" si="5"/>
        <v>349</v>
      </c>
      <c r="B350" s="15"/>
      <c r="C350" s="16" t="s">
        <v>29</v>
      </c>
      <c r="D350" s="16"/>
      <c r="E350" s="17" t="s">
        <v>158</v>
      </c>
      <c r="F350" s="44"/>
      <c r="G350" s="19"/>
      <c r="H350" s="20"/>
    </row>
    <row r="351" spans="1:8" ht="18.75" x14ac:dyDescent="0.25">
      <c r="A351" s="14">
        <f t="shared" si="5"/>
        <v>350</v>
      </c>
      <c r="B351" s="15" t="s">
        <v>306</v>
      </c>
      <c r="C351" s="16"/>
      <c r="D351" s="16"/>
      <c r="E351" s="17"/>
      <c r="F351" s="44"/>
      <c r="G351" s="19"/>
      <c r="H351" s="20"/>
    </row>
    <row r="352" spans="1:8" ht="18.75" x14ac:dyDescent="0.25">
      <c r="A352" s="14">
        <f t="shared" si="5"/>
        <v>351</v>
      </c>
      <c r="B352" s="15"/>
      <c r="C352" s="16" t="s">
        <v>62</v>
      </c>
      <c r="D352" s="16"/>
      <c r="E352" s="17" t="s">
        <v>90</v>
      </c>
      <c r="F352" s="44"/>
      <c r="G352" s="19"/>
      <c r="H352" s="20"/>
    </row>
    <row r="353" spans="1:8" ht="18.75" x14ac:dyDescent="0.25">
      <c r="A353" s="14">
        <f t="shared" si="5"/>
        <v>352</v>
      </c>
      <c r="B353" s="15"/>
      <c r="C353" s="16" t="s">
        <v>281</v>
      </c>
      <c r="D353" s="16"/>
      <c r="E353" s="17" t="s">
        <v>120</v>
      </c>
      <c r="F353" s="44"/>
      <c r="G353" s="19"/>
      <c r="H353" s="20"/>
    </row>
    <row r="354" spans="1:8" ht="18.75" x14ac:dyDescent="0.25">
      <c r="A354" s="14">
        <f t="shared" si="5"/>
        <v>353</v>
      </c>
      <c r="B354" s="15"/>
      <c r="C354" s="16" t="s">
        <v>282</v>
      </c>
      <c r="D354" s="16"/>
      <c r="E354" s="17" t="s">
        <v>158</v>
      </c>
      <c r="F354" s="44"/>
      <c r="G354" s="19"/>
      <c r="H354" s="20"/>
    </row>
    <row r="355" spans="1:8" ht="18.75" x14ac:dyDescent="0.25">
      <c r="A355" s="14">
        <f t="shared" si="5"/>
        <v>354</v>
      </c>
      <c r="B355" s="15"/>
      <c r="C355" s="16" t="s">
        <v>283</v>
      </c>
      <c r="D355" s="16"/>
      <c r="E355" s="17" t="s">
        <v>158</v>
      </c>
      <c r="F355" s="44"/>
      <c r="G355" s="19"/>
      <c r="H355" s="20"/>
    </row>
    <row r="356" spans="1:8" ht="18.75" x14ac:dyDescent="0.25">
      <c r="A356" s="14">
        <f t="shared" si="5"/>
        <v>355</v>
      </c>
      <c r="B356" s="15"/>
      <c r="C356" s="16" t="s">
        <v>284</v>
      </c>
      <c r="D356" s="16"/>
      <c r="E356" s="17" t="s">
        <v>158</v>
      </c>
      <c r="F356" s="44"/>
      <c r="G356" s="19"/>
      <c r="H356" s="20"/>
    </row>
    <row r="357" spans="1:8" ht="18.75" x14ac:dyDescent="0.25">
      <c r="A357" s="14">
        <f t="shared" si="5"/>
        <v>356</v>
      </c>
      <c r="B357" s="15"/>
      <c r="C357" s="16" t="s">
        <v>285</v>
      </c>
      <c r="D357" s="16"/>
      <c r="E357" s="17" t="s">
        <v>158</v>
      </c>
      <c r="F357" s="44"/>
      <c r="G357" s="19"/>
      <c r="H357" s="20"/>
    </row>
    <row r="358" spans="1:8" ht="18.75" x14ac:dyDescent="0.25">
      <c r="A358" s="14">
        <f t="shared" si="5"/>
        <v>357</v>
      </c>
      <c r="B358" s="15"/>
      <c r="C358" s="16" t="s">
        <v>132</v>
      </c>
      <c r="D358" s="16"/>
      <c r="E358" s="17" t="s">
        <v>158</v>
      </c>
      <c r="F358" s="44"/>
      <c r="G358" s="19"/>
      <c r="H358" s="20"/>
    </row>
    <row r="359" spans="1:8" ht="18.75" x14ac:dyDescent="0.25">
      <c r="A359" s="14">
        <f t="shared" si="5"/>
        <v>358</v>
      </c>
      <c r="B359" s="15"/>
      <c r="C359" s="16" t="s">
        <v>139</v>
      </c>
      <c r="D359" s="16"/>
      <c r="E359" s="17" t="s">
        <v>158</v>
      </c>
      <c r="F359" s="44"/>
      <c r="G359" s="19"/>
      <c r="H359" s="20"/>
    </row>
    <row r="360" spans="1:8" ht="18.75" x14ac:dyDescent="0.25">
      <c r="A360" s="14">
        <f t="shared" si="5"/>
        <v>359</v>
      </c>
      <c r="B360" s="15"/>
      <c r="C360" s="16" t="s">
        <v>140</v>
      </c>
      <c r="D360" s="16"/>
      <c r="E360" s="17" t="s">
        <v>158</v>
      </c>
      <c r="F360" s="44"/>
      <c r="G360" s="19"/>
      <c r="H360" s="20"/>
    </row>
    <row r="361" spans="1:8" ht="18.75" x14ac:dyDescent="0.25">
      <c r="A361" s="14">
        <f t="shared" si="5"/>
        <v>360</v>
      </c>
      <c r="B361" s="15"/>
      <c r="C361" s="16" t="s">
        <v>141</v>
      </c>
      <c r="D361" s="16"/>
      <c r="E361" s="17" t="s">
        <v>158</v>
      </c>
      <c r="F361" s="44"/>
      <c r="G361" s="19"/>
      <c r="H361" s="20"/>
    </row>
    <row r="362" spans="1:8" ht="18.75" x14ac:dyDescent="0.25">
      <c r="A362" s="14">
        <f t="shared" si="5"/>
        <v>361</v>
      </c>
      <c r="B362" s="15"/>
      <c r="C362" s="16" t="s">
        <v>235</v>
      </c>
      <c r="D362" s="16"/>
      <c r="E362" s="17" t="s">
        <v>120</v>
      </c>
      <c r="F362" s="44"/>
      <c r="G362" s="19"/>
      <c r="H362" s="20"/>
    </row>
    <row r="363" spans="1:8" ht="18.75" x14ac:dyDescent="0.25">
      <c r="A363" s="14">
        <f t="shared" si="5"/>
        <v>362</v>
      </c>
      <c r="B363" s="15"/>
      <c r="C363" s="16" t="s">
        <v>286</v>
      </c>
      <c r="D363" s="16"/>
      <c r="E363" s="17" t="s">
        <v>286</v>
      </c>
      <c r="F363" s="44"/>
      <c r="G363" s="19"/>
      <c r="H363" s="20"/>
    </row>
    <row r="364" spans="1:8" ht="18.75" x14ac:dyDescent="0.25">
      <c r="A364" s="14">
        <f t="shared" si="5"/>
        <v>363</v>
      </c>
      <c r="B364" s="15" t="s">
        <v>287</v>
      </c>
      <c r="C364" s="16"/>
      <c r="D364" s="16"/>
      <c r="E364" s="17"/>
      <c r="F364" s="44"/>
      <c r="G364" s="19"/>
      <c r="H364" s="20"/>
    </row>
    <row r="365" spans="1:8" ht="18.75" x14ac:dyDescent="0.25">
      <c r="A365" s="14">
        <f t="shared" si="5"/>
        <v>364</v>
      </c>
      <c r="B365" s="15"/>
      <c r="C365" s="16" t="s">
        <v>281</v>
      </c>
      <c r="D365" s="16"/>
      <c r="E365" s="17" t="s">
        <v>120</v>
      </c>
      <c r="F365" s="44"/>
      <c r="G365" s="19"/>
      <c r="H365" s="20"/>
    </row>
    <row r="366" spans="1:8" ht="18.75" x14ac:dyDescent="0.25">
      <c r="A366" s="14">
        <f t="shared" si="5"/>
        <v>365</v>
      </c>
      <c r="B366" s="15"/>
      <c r="C366" s="16" t="s">
        <v>290</v>
      </c>
      <c r="D366" s="16"/>
      <c r="E366" s="17" t="s">
        <v>90</v>
      </c>
      <c r="F366" s="44"/>
      <c r="G366" s="19"/>
      <c r="H366" s="20"/>
    </row>
    <row r="367" spans="1:8" ht="18.75" x14ac:dyDescent="0.25">
      <c r="A367" s="14">
        <f t="shared" si="5"/>
        <v>366</v>
      </c>
      <c r="B367" s="15"/>
      <c r="C367" s="16" t="s">
        <v>289</v>
      </c>
      <c r="D367" s="16"/>
      <c r="E367" s="17" t="s">
        <v>288</v>
      </c>
      <c r="F367" s="44"/>
      <c r="G367" s="19"/>
      <c r="H367" s="20"/>
    </row>
    <row r="368" spans="1:8" ht="18.75" x14ac:dyDescent="0.25">
      <c r="A368" s="14">
        <f t="shared" si="5"/>
        <v>367</v>
      </c>
      <c r="B368" s="15"/>
      <c r="C368" s="16" t="s">
        <v>299</v>
      </c>
      <c r="D368" s="16"/>
      <c r="E368" s="17" t="s">
        <v>288</v>
      </c>
      <c r="F368" s="44"/>
      <c r="G368" s="19"/>
      <c r="H368" s="20"/>
    </row>
    <row r="369" spans="1:8" ht="18.75" x14ac:dyDescent="0.25">
      <c r="A369" s="14">
        <f t="shared" si="5"/>
        <v>368</v>
      </c>
      <c r="B369" s="15"/>
      <c r="C369" s="16" t="s">
        <v>291</v>
      </c>
      <c r="D369" s="16"/>
      <c r="E369" s="17" t="s">
        <v>288</v>
      </c>
      <c r="F369" s="44"/>
      <c r="G369" s="19"/>
      <c r="H369" s="20"/>
    </row>
    <row r="370" spans="1:8" ht="18.75" x14ac:dyDescent="0.25">
      <c r="A370" s="14">
        <f t="shared" si="5"/>
        <v>369</v>
      </c>
      <c r="B370" s="15"/>
      <c r="C370" s="16" t="s">
        <v>296</v>
      </c>
      <c r="D370" s="16"/>
      <c r="E370" s="17" t="s">
        <v>89</v>
      </c>
      <c r="F370" s="44"/>
      <c r="G370" s="19"/>
      <c r="H370" s="20"/>
    </row>
    <row r="371" spans="1:8" ht="18.75" x14ac:dyDescent="0.25">
      <c r="A371" s="14">
        <f t="shared" si="5"/>
        <v>370</v>
      </c>
      <c r="B371" s="15"/>
      <c r="C371" s="16" t="s">
        <v>297</v>
      </c>
      <c r="D371" s="16"/>
      <c r="E371" s="17" t="s">
        <v>286</v>
      </c>
      <c r="F371" s="44"/>
      <c r="G371" s="19"/>
      <c r="H371" s="20"/>
    </row>
    <row r="372" spans="1:8" ht="37.5" x14ac:dyDescent="0.25">
      <c r="A372" s="14">
        <f t="shared" si="5"/>
        <v>371</v>
      </c>
      <c r="B372" s="15"/>
      <c r="C372" s="16" t="s">
        <v>298</v>
      </c>
      <c r="D372" s="16"/>
      <c r="E372" s="17" t="s">
        <v>286</v>
      </c>
      <c r="F372" s="44"/>
      <c r="G372" s="19"/>
      <c r="H372" s="20"/>
    </row>
    <row r="373" spans="1:8" ht="18.75" x14ac:dyDescent="0.25">
      <c r="A373" s="14">
        <f t="shared" si="5"/>
        <v>372</v>
      </c>
      <c r="B373" s="15"/>
      <c r="C373" s="16" t="s">
        <v>300</v>
      </c>
      <c r="D373" s="16"/>
      <c r="E373" s="17" t="s">
        <v>95</v>
      </c>
      <c r="F373" s="44"/>
      <c r="G373" s="19"/>
      <c r="H373" s="20"/>
    </row>
    <row r="374" spans="1:8" ht="18.75" x14ac:dyDescent="0.25">
      <c r="A374" s="14">
        <f t="shared" si="5"/>
        <v>373</v>
      </c>
      <c r="B374" s="15"/>
      <c r="C374" s="16" t="s">
        <v>301</v>
      </c>
      <c r="D374" s="16"/>
      <c r="E374" s="17" t="s">
        <v>95</v>
      </c>
      <c r="F374" s="44"/>
      <c r="G374" s="19"/>
      <c r="H374" s="20"/>
    </row>
    <row r="375" spans="1:8" ht="18.75" x14ac:dyDescent="0.25">
      <c r="A375" s="14">
        <f t="shared" si="5"/>
        <v>374</v>
      </c>
      <c r="B375" s="15" t="s">
        <v>307</v>
      </c>
      <c r="C375" s="16"/>
      <c r="D375" s="16"/>
      <c r="E375" s="17"/>
      <c r="F375" s="44"/>
      <c r="G375" s="19"/>
      <c r="H375" s="20"/>
    </row>
    <row r="376" spans="1:8" ht="18.75" x14ac:dyDescent="0.25">
      <c r="A376" s="14">
        <f t="shared" si="5"/>
        <v>375</v>
      </c>
      <c r="B376" s="15"/>
      <c r="C376" s="16" t="s">
        <v>292</v>
      </c>
      <c r="D376" s="16"/>
      <c r="E376" s="17" t="s">
        <v>120</v>
      </c>
      <c r="F376" s="44"/>
      <c r="G376" s="19"/>
      <c r="H376" s="20"/>
    </row>
    <row r="377" spans="1:8" ht="18.75" x14ac:dyDescent="0.25">
      <c r="A377" s="14">
        <f t="shared" si="5"/>
        <v>376</v>
      </c>
      <c r="B377" s="15"/>
      <c r="C377" s="16" t="s">
        <v>282</v>
      </c>
      <c r="D377" s="16"/>
      <c r="E377" s="17" t="s">
        <v>158</v>
      </c>
      <c r="F377" s="44"/>
      <c r="G377" s="19"/>
      <c r="H377" s="20"/>
    </row>
    <row r="378" spans="1:8" ht="18.75" x14ac:dyDescent="0.25">
      <c r="A378" s="14">
        <f t="shared" si="5"/>
        <v>377</v>
      </c>
      <c r="B378" s="15"/>
      <c r="C378" s="16" t="s">
        <v>283</v>
      </c>
      <c r="D378" s="16"/>
      <c r="E378" s="17" t="s">
        <v>158</v>
      </c>
      <c r="F378" s="44"/>
      <c r="G378" s="19"/>
      <c r="H378" s="20"/>
    </row>
    <row r="379" spans="1:8" ht="18.75" x14ac:dyDescent="0.25">
      <c r="A379" s="14">
        <f t="shared" si="5"/>
        <v>378</v>
      </c>
      <c r="B379" s="15"/>
      <c r="C379" s="16" t="s">
        <v>284</v>
      </c>
      <c r="D379" s="16"/>
      <c r="E379" s="17" t="s">
        <v>158</v>
      </c>
      <c r="F379" s="44"/>
      <c r="G379" s="19"/>
      <c r="H379" s="20"/>
    </row>
    <row r="380" spans="1:8" ht="18.75" x14ac:dyDescent="0.25">
      <c r="A380" s="14">
        <f t="shared" si="5"/>
        <v>379</v>
      </c>
      <c r="B380" s="15"/>
      <c r="C380" s="16" t="s">
        <v>285</v>
      </c>
      <c r="D380" s="16"/>
      <c r="E380" s="17" t="s">
        <v>158</v>
      </c>
      <c r="F380" s="44"/>
      <c r="G380" s="19"/>
      <c r="H380" s="20"/>
    </row>
    <row r="381" spans="1:8" ht="18.75" x14ac:dyDescent="0.25">
      <c r="A381" s="14">
        <f t="shared" si="5"/>
        <v>380</v>
      </c>
      <c r="B381" s="15"/>
      <c r="C381" s="16" t="s">
        <v>132</v>
      </c>
      <c r="D381" s="16"/>
      <c r="E381" s="17" t="s">
        <v>158</v>
      </c>
      <c r="F381" s="44"/>
      <c r="G381" s="19"/>
      <c r="H381" s="20"/>
    </row>
    <row r="382" spans="1:8" ht="18.75" x14ac:dyDescent="0.25">
      <c r="A382" s="14">
        <f t="shared" si="5"/>
        <v>381</v>
      </c>
      <c r="B382" s="15"/>
      <c r="C382" s="16" t="s">
        <v>139</v>
      </c>
      <c r="D382" s="16"/>
      <c r="E382" s="17" t="s">
        <v>158</v>
      </c>
      <c r="F382" s="44"/>
      <c r="G382" s="19"/>
      <c r="H382" s="20"/>
    </row>
    <row r="383" spans="1:8" ht="18.75" x14ac:dyDescent="0.25">
      <c r="A383" s="14">
        <f t="shared" si="5"/>
        <v>382</v>
      </c>
      <c r="B383" s="15"/>
      <c r="C383" s="16" t="s">
        <v>140</v>
      </c>
      <c r="D383" s="16"/>
      <c r="E383" s="17" t="s">
        <v>158</v>
      </c>
      <c r="F383" s="44"/>
      <c r="G383" s="19"/>
      <c r="H383" s="20"/>
    </row>
    <row r="384" spans="1:8" ht="18.75" x14ac:dyDescent="0.25">
      <c r="A384" s="14">
        <f t="shared" si="5"/>
        <v>383</v>
      </c>
      <c r="B384" s="15"/>
      <c r="C384" s="16" t="s">
        <v>141</v>
      </c>
      <c r="D384" s="16"/>
      <c r="E384" s="17" t="s">
        <v>158</v>
      </c>
      <c r="F384" s="44"/>
      <c r="G384" s="19"/>
      <c r="H384" s="20"/>
    </row>
    <row r="385" spans="1:8" ht="18.75" x14ac:dyDescent="0.25">
      <c r="A385" s="14">
        <f t="shared" si="5"/>
        <v>384</v>
      </c>
      <c r="B385" s="15"/>
      <c r="C385" s="16" t="s">
        <v>235</v>
      </c>
      <c r="D385" s="16"/>
      <c r="E385" s="17" t="s">
        <v>120</v>
      </c>
      <c r="F385" s="44"/>
      <c r="G385" s="19"/>
      <c r="H385" s="20"/>
    </row>
    <row r="386" spans="1:8" ht="18.75" x14ac:dyDescent="0.25">
      <c r="A386" s="14">
        <f t="shared" si="5"/>
        <v>385</v>
      </c>
      <c r="B386" s="15"/>
      <c r="C386" s="16" t="s">
        <v>286</v>
      </c>
      <c r="D386" s="16"/>
      <c r="E386" s="17" t="s">
        <v>286</v>
      </c>
      <c r="F386" s="44"/>
      <c r="G386" s="19"/>
      <c r="H386" s="20"/>
    </row>
    <row r="387" spans="1:8" ht="18.75" x14ac:dyDescent="0.25">
      <c r="A387" s="14">
        <f t="shared" si="5"/>
        <v>386</v>
      </c>
      <c r="B387" s="15" t="s">
        <v>308</v>
      </c>
      <c r="C387" s="16"/>
      <c r="D387" s="16"/>
      <c r="E387" s="17"/>
      <c r="F387" s="44"/>
      <c r="G387" s="19"/>
      <c r="H387" s="20"/>
    </row>
    <row r="388" spans="1:8" ht="18.75" x14ac:dyDescent="0.25">
      <c r="A388" s="14">
        <f t="shared" ref="A388:A451" si="6">+A387+1</f>
        <v>387</v>
      </c>
      <c r="B388" s="15"/>
      <c r="C388" s="16" t="s">
        <v>293</v>
      </c>
      <c r="D388" s="16"/>
      <c r="E388" s="17" t="s">
        <v>91</v>
      </c>
      <c r="F388" s="44"/>
      <c r="G388" s="19"/>
      <c r="H388" s="20"/>
    </row>
    <row r="389" spans="1:8" ht="18.75" x14ac:dyDescent="0.25">
      <c r="A389" s="14">
        <f t="shared" si="6"/>
        <v>388</v>
      </c>
      <c r="B389" s="15"/>
      <c r="C389" s="16" t="s">
        <v>294</v>
      </c>
      <c r="D389" s="16"/>
      <c r="E389" s="17" t="s">
        <v>101</v>
      </c>
      <c r="F389" s="44"/>
      <c r="G389" s="19"/>
      <c r="H389" s="20"/>
    </row>
    <row r="390" spans="1:8" ht="18.75" x14ac:dyDescent="0.25">
      <c r="A390" s="14">
        <f t="shared" si="6"/>
        <v>389</v>
      </c>
      <c r="B390" s="15"/>
      <c r="C390" s="16" t="s">
        <v>295</v>
      </c>
      <c r="D390" s="16"/>
      <c r="E390" s="17" t="s">
        <v>95</v>
      </c>
      <c r="F390" s="44"/>
      <c r="G390" s="19"/>
      <c r="H390" s="20"/>
    </row>
    <row r="391" spans="1:8" ht="18.75" x14ac:dyDescent="0.25">
      <c r="A391" s="14">
        <f t="shared" si="6"/>
        <v>390</v>
      </c>
      <c r="B391" s="15"/>
      <c r="C391" s="16"/>
      <c r="D391" s="16" t="s">
        <v>339</v>
      </c>
      <c r="E391" s="17" t="s">
        <v>90</v>
      </c>
      <c r="F391" s="44"/>
      <c r="G391" s="19"/>
      <c r="H391" s="20"/>
    </row>
    <row r="392" spans="1:8" ht="18.75" x14ac:dyDescent="0.25">
      <c r="A392" s="14">
        <f t="shared" si="6"/>
        <v>391</v>
      </c>
      <c r="B392" s="15"/>
      <c r="C392" s="16"/>
      <c r="D392" s="16" t="s">
        <v>340</v>
      </c>
      <c r="E392" s="17" t="s">
        <v>90</v>
      </c>
      <c r="F392" s="44"/>
      <c r="G392" s="19"/>
      <c r="H392" s="20"/>
    </row>
    <row r="393" spans="1:8" ht="18.75" x14ac:dyDescent="0.25">
      <c r="A393" s="14">
        <f t="shared" si="6"/>
        <v>392</v>
      </c>
      <c r="B393" s="15"/>
      <c r="C393" s="16" t="s">
        <v>64</v>
      </c>
      <c r="D393" s="16"/>
      <c r="E393" s="17" t="s">
        <v>95</v>
      </c>
      <c r="F393" s="44"/>
      <c r="G393" s="19"/>
      <c r="H393" s="20"/>
    </row>
    <row r="394" spans="1:8" ht="18.75" x14ac:dyDescent="0.25">
      <c r="A394" s="14">
        <f t="shared" si="6"/>
        <v>393</v>
      </c>
      <c r="B394" s="15" t="s">
        <v>309</v>
      </c>
      <c r="C394" s="16"/>
      <c r="D394" s="16"/>
      <c r="E394" s="17"/>
      <c r="F394" s="44"/>
      <c r="G394" s="19"/>
      <c r="H394" s="20"/>
    </row>
    <row r="395" spans="1:8" ht="18.75" x14ac:dyDescent="0.25">
      <c r="A395" s="14">
        <f t="shared" si="6"/>
        <v>394</v>
      </c>
      <c r="B395" s="15"/>
      <c r="C395" s="16" t="s">
        <v>290</v>
      </c>
      <c r="D395" s="16"/>
      <c r="E395" s="17" t="s">
        <v>90</v>
      </c>
      <c r="F395" s="44"/>
      <c r="G395" s="19"/>
      <c r="H395" s="20"/>
    </row>
    <row r="396" spans="1:8" ht="18.75" x14ac:dyDescent="0.25">
      <c r="A396" s="14">
        <f t="shared" si="6"/>
        <v>395</v>
      </c>
      <c r="B396" s="15"/>
      <c r="C396" s="16" t="s">
        <v>289</v>
      </c>
      <c r="D396" s="16"/>
      <c r="E396" s="17" t="s">
        <v>288</v>
      </c>
      <c r="F396" s="44"/>
      <c r="G396" s="19"/>
      <c r="H396" s="20"/>
    </row>
    <row r="397" spans="1:8" ht="18.75" x14ac:dyDescent="0.25">
      <c r="A397" s="14">
        <f t="shared" si="6"/>
        <v>396</v>
      </c>
      <c r="B397" s="15"/>
      <c r="C397" s="16" t="s">
        <v>299</v>
      </c>
      <c r="D397" s="16"/>
      <c r="E397" s="17" t="s">
        <v>288</v>
      </c>
      <c r="F397" s="44"/>
      <c r="G397" s="19"/>
      <c r="H397" s="20"/>
    </row>
    <row r="398" spans="1:8" ht="18.75" x14ac:dyDescent="0.25">
      <c r="A398" s="14">
        <f t="shared" si="6"/>
        <v>397</v>
      </c>
      <c r="B398" s="15"/>
      <c r="C398" s="16" t="s">
        <v>291</v>
      </c>
      <c r="D398" s="16"/>
      <c r="E398" s="17" t="s">
        <v>288</v>
      </c>
      <c r="F398" s="44"/>
      <c r="G398" s="19"/>
      <c r="H398" s="20"/>
    </row>
    <row r="399" spans="1:8" ht="18.75" x14ac:dyDescent="0.25">
      <c r="A399" s="14">
        <f t="shared" si="6"/>
        <v>398</v>
      </c>
      <c r="B399" s="15"/>
      <c r="C399" s="16" t="s">
        <v>296</v>
      </c>
      <c r="D399" s="16"/>
      <c r="E399" s="17" t="s">
        <v>89</v>
      </c>
      <c r="F399" s="44"/>
      <c r="G399" s="19"/>
      <c r="H399" s="20"/>
    </row>
    <row r="400" spans="1:8" ht="18.75" x14ac:dyDescent="0.25">
      <c r="A400" s="14">
        <f t="shared" si="6"/>
        <v>399</v>
      </c>
      <c r="B400" s="15"/>
      <c r="C400" s="16" t="s">
        <v>297</v>
      </c>
      <c r="D400" s="16"/>
      <c r="E400" s="17" t="s">
        <v>286</v>
      </c>
      <c r="F400" s="44"/>
      <c r="G400" s="19"/>
      <c r="H400" s="20"/>
    </row>
    <row r="401" spans="1:8" ht="37.5" x14ac:dyDescent="0.25">
      <c r="A401" s="14">
        <f t="shared" si="6"/>
        <v>400</v>
      </c>
      <c r="B401" s="15"/>
      <c r="C401" s="16" t="s">
        <v>298</v>
      </c>
      <c r="D401" s="16"/>
      <c r="E401" s="17" t="s">
        <v>286</v>
      </c>
      <c r="F401" s="44"/>
      <c r="G401" s="19"/>
      <c r="H401" s="20"/>
    </row>
    <row r="402" spans="1:8" ht="18.75" x14ac:dyDescent="0.25">
      <c r="A402" s="14">
        <f t="shared" si="6"/>
        <v>401</v>
      </c>
      <c r="B402" s="15" t="s">
        <v>310</v>
      </c>
      <c r="C402" s="16"/>
      <c r="D402" s="16"/>
      <c r="E402" s="17"/>
      <c r="F402" s="44"/>
      <c r="G402" s="19"/>
      <c r="H402" s="20"/>
    </row>
    <row r="403" spans="1:8" ht="18.75" x14ac:dyDescent="0.25">
      <c r="A403" s="14">
        <f t="shared" si="6"/>
        <v>402</v>
      </c>
      <c r="B403" s="15"/>
      <c r="C403" s="16" t="s">
        <v>165</v>
      </c>
      <c r="D403" s="16"/>
      <c r="E403" s="17" t="s">
        <v>120</v>
      </c>
      <c r="F403" s="44"/>
      <c r="G403" s="19"/>
      <c r="H403" s="20"/>
    </row>
    <row r="404" spans="1:8" ht="18.75" x14ac:dyDescent="0.25">
      <c r="A404" s="14">
        <f t="shared" si="6"/>
        <v>403</v>
      </c>
      <c r="B404" s="15"/>
      <c r="C404" s="16"/>
      <c r="D404" s="16" t="s">
        <v>169</v>
      </c>
      <c r="E404" s="17" t="s">
        <v>185</v>
      </c>
      <c r="F404" s="44"/>
      <c r="G404" s="19"/>
      <c r="H404" s="20"/>
    </row>
    <row r="405" spans="1:8" ht="18.75" x14ac:dyDescent="0.25">
      <c r="A405" s="14">
        <f t="shared" si="6"/>
        <v>404</v>
      </c>
      <c r="B405" s="15"/>
      <c r="C405" s="16"/>
      <c r="D405" s="16" t="s">
        <v>171</v>
      </c>
      <c r="E405" s="17" t="s">
        <v>185</v>
      </c>
      <c r="F405" s="44"/>
      <c r="G405" s="19"/>
      <c r="H405" s="20"/>
    </row>
    <row r="406" spans="1:8" ht="18.75" x14ac:dyDescent="0.25">
      <c r="A406" s="14">
        <f t="shared" si="6"/>
        <v>405</v>
      </c>
      <c r="B406" s="15"/>
      <c r="C406" s="16"/>
      <c r="D406" s="16" t="s">
        <v>172</v>
      </c>
      <c r="E406" s="17" t="s">
        <v>185</v>
      </c>
      <c r="F406" s="44"/>
      <c r="G406" s="19"/>
      <c r="H406" s="20"/>
    </row>
    <row r="407" spans="1:8" ht="18.75" x14ac:dyDescent="0.25">
      <c r="A407" s="14">
        <f t="shared" si="6"/>
        <v>406</v>
      </c>
      <c r="B407" s="15"/>
      <c r="C407" s="16" t="s">
        <v>54</v>
      </c>
      <c r="D407" s="16"/>
      <c r="E407" s="17" t="s">
        <v>89</v>
      </c>
      <c r="F407" s="44"/>
      <c r="G407" s="19"/>
      <c r="H407" s="20"/>
    </row>
    <row r="408" spans="1:8" ht="18.75" x14ac:dyDescent="0.25">
      <c r="A408" s="14">
        <f t="shared" si="6"/>
        <v>407</v>
      </c>
      <c r="B408" s="15"/>
      <c r="C408" s="16" t="s">
        <v>302</v>
      </c>
      <c r="D408" s="16"/>
      <c r="E408" s="17" t="s">
        <v>95</v>
      </c>
      <c r="F408" s="44"/>
      <c r="G408" s="19"/>
      <c r="H408" s="20"/>
    </row>
    <row r="409" spans="1:8" ht="18.75" x14ac:dyDescent="0.25">
      <c r="A409" s="14">
        <f t="shared" si="6"/>
        <v>408</v>
      </c>
      <c r="B409" s="15"/>
      <c r="C409" s="16" t="s">
        <v>303</v>
      </c>
      <c r="D409" s="16"/>
      <c r="E409" s="17" t="s">
        <v>95</v>
      </c>
      <c r="F409" s="44"/>
      <c r="G409" s="19"/>
      <c r="H409" s="20"/>
    </row>
    <row r="410" spans="1:8" ht="18.75" x14ac:dyDescent="0.25">
      <c r="A410" s="14">
        <f t="shared" si="6"/>
        <v>409</v>
      </c>
      <c r="B410" s="15" t="s">
        <v>311</v>
      </c>
      <c r="C410" s="16"/>
      <c r="D410" s="16"/>
      <c r="E410" s="17"/>
      <c r="F410" s="44"/>
      <c r="G410" s="19"/>
      <c r="H410" s="20"/>
    </row>
    <row r="411" spans="1:8" ht="37.5" x14ac:dyDescent="0.25">
      <c r="A411" s="14">
        <f t="shared" si="6"/>
        <v>410</v>
      </c>
      <c r="B411" s="15"/>
      <c r="C411" s="16" t="s">
        <v>385</v>
      </c>
      <c r="D411" s="16"/>
      <c r="E411" s="17" t="s">
        <v>91</v>
      </c>
      <c r="F411" s="44"/>
      <c r="G411" s="19"/>
      <c r="H411" s="20"/>
    </row>
    <row r="412" spans="1:8" ht="18.75" x14ac:dyDescent="0.25">
      <c r="A412" s="14">
        <f t="shared" si="6"/>
        <v>411</v>
      </c>
      <c r="B412" s="15"/>
      <c r="C412" s="16" t="s">
        <v>295</v>
      </c>
      <c r="D412" s="16"/>
      <c r="E412" s="17" t="s">
        <v>95</v>
      </c>
      <c r="F412" s="44"/>
      <c r="G412" s="19"/>
      <c r="H412" s="20"/>
    </row>
    <row r="413" spans="1:8" ht="18.75" x14ac:dyDescent="0.25">
      <c r="A413" s="14">
        <f t="shared" si="6"/>
        <v>412</v>
      </c>
      <c r="B413" s="15"/>
      <c r="C413" s="16"/>
      <c r="D413" s="16" t="s">
        <v>339</v>
      </c>
      <c r="E413" s="17" t="s">
        <v>90</v>
      </c>
      <c r="F413" s="44"/>
      <c r="G413" s="19"/>
      <c r="H413" s="20"/>
    </row>
    <row r="414" spans="1:8" ht="18.75" x14ac:dyDescent="0.25">
      <c r="A414" s="14">
        <f t="shared" si="6"/>
        <v>413</v>
      </c>
      <c r="B414" s="15"/>
      <c r="C414" s="16"/>
      <c r="D414" s="16" t="s">
        <v>340</v>
      </c>
      <c r="E414" s="17" t="s">
        <v>90</v>
      </c>
      <c r="F414" s="44"/>
      <c r="G414" s="19"/>
      <c r="H414" s="20"/>
    </row>
    <row r="415" spans="1:8" ht="18.75" x14ac:dyDescent="0.25">
      <c r="A415" s="14">
        <f t="shared" si="6"/>
        <v>414</v>
      </c>
      <c r="B415" s="15" t="s">
        <v>312</v>
      </c>
      <c r="C415" s="16"/>
      <c r="D415" s="16"/>
      <c r="E415" s="17"/>
      <c r="F415" s="44"/>
      <c r="G415" s="19"/>
      <c r="H415" s="20"/>
    </row>
    <row r="416" spans="1:8" ht="18.75" x14ac:dyDescent="0.25">
      <c r="A416" s="14">
        <f t="shared" si="6"/>
        <v>415</v>
      </c>
      <c r="B416" s="15"/>
      <c r="C416" s="16" t="s">
        <v>313</v>
      </c>
      <c r="D416" s="16"/>
      <c r="E416" s="17" t="s">
        <v>158</v>
      </c>
      <c r="F416" s="44"/>
      <c r="G416" s="19"/>
      <c r="H416" s="20"/>
    </row>
    <row r="417" spans="1:8" ht="18.75" x14ac:dyDescent="0.25">
      <c r="A417" s="14">
        <f t="shared" si="6"/>
        <v>416</v>
      </c>
      <c r="B417" s="15"/>
      <c r="C417" s="16" t="s">
        <v>19</v>
      </c>
      <c r="D417" s="16"/>
      <c r="E417" s="17" t="s">
        <v>158</v>
      </c>
      <c r="F417" s="44"/>
      <c r="G417" s="19"/>
      <c r="H417" s="20"/>
    </row>
    <row r="418" spans="1:8" ht="18.75" x14ac:dyDescent="0.25">
      <c r="A418" s="14">
        <f t="shared" si="6"/>
        <v>417</v>
      </c>
      <c r="B418" s="15" t="s">
        <v>314</v>
      </c>
      <c r="C418" s="16"/>
      <c r="D418" s="16"/>
      <c r="E418" s="17"/>
      <c r="F418" s="44"/>
      <c r="G418" s="19"/>
      <c r="H418" s="20"/>
    </row>
    <row r="419" spans="1:8" ht="18.75" x14ac:dyDescent="0.25">
      <c r="A419" s="14">
        <f t="shared" si="6"/>
        <v>418</v>
      </c>
      <c r="B419" s="15"/>
      <c r="C419" s="16" t="s">
        <v>315</v>
      </c>
      <c r="D419" s="16"/>
      <c r="E419" s="17" t="s">
        <v>91</v>
      </c>
      <c r="F419" s="44"/>
      <c r="G419" s="19"/>
      <c r="H419" s="20"/>
    </row>
    <row r="420" spans="1:8" ht="18.75" x14ac:dyDescent="0.25">
      <c r="A420" s="14">
        <f t="shared" si="6"/>
        <v>419</v>
      </c>
      <c r="B420" s="15"/>
      <c r="C420" s="16" t="s">
        <v>269</v>
      </c>
      <c r="D420" s="16"/>
      <c r="E420" s="17" t="s">
        <v>101</v>
      </c>
      <c r="F420" s="44"/>
      <c r="G420" s="19"/>
      <c r="H420" s="20"/>
    </row>
    <row r="421" spans="1:8" ht="18.75" x14ac:dyDescent="0.25">
      <c r="A421" s="14">
        <f t="shared" si="6"/>
        <v>420</v>
      </c>
      <c r="B421" s="15"/>
      <c r="C421" s="16" t="s">
        <v>316</v>
      </c>
      <c r="D421" s="16"/>
      <c r="E421" s="17" t="s">
        <v>116</v>
      </c>
      <c r="F421" s="44"/>
      <c r="G421" s="19"/>
      <c r="H421" s="20"/>
    </row>
    <row r="422" spans="1:8" ht="18.75" x14ac:dyDescent="0.25">
      <c r="A422" s="14">
        <f t="shared" si="6"/>
        <v>421</v>
      </c>
      <c r="B422" s="15"/>
      <c r="C422" s="16" t="s">
        <v>317</v>
      </c>
      <c r="D422" s="16"/>
      <c r="E422" s="17" t="s">
        <v>91</v>
      </c>
      <c r="F422" s="44"/>
      <c r="G422" s="19"/>
      <c r="H422" s="20"/>
    </row>
    <row r="423" spans="1:8" ht="18.75" x14ac:dyDescent="0.25">
      <c r="A423" s="14">
        <f t="shared" si="6"/>
        <v>422</v>
      </c>
      <c r="B423" s="15"/>
      <c r="C423" s="16" t="s">
        <v>318</v>
      </c>
      <c r="D423" s="16"/>
      <c r="E423" s="17" t="s">
        <v>91</v>
      </c>
      <c r="F423" s="44"/>
      <c r="G423" s="19"/>
      <c r="H423" s="20"/>
    </row>
    <row r="424" spans="1:8" ht="18.75" x14ac:dyDescent="0.25">
      <c r="A424" s="14">
        <f t="shared" si="6"/>
        <v>423</v>
      </c>
      <c r="B424" s="15"/>
      <c r="C424" s="16" t="s">
        <v>319</v>
      </c>
      <c r="D424" s="16"/>
      <c r="E424" s="17" t="s">
        <v>116</v>
      </c>
      <c r="F424" s="44"/>
      <c r="G424" s="19"/>
      <c r="H424" s="20"/>
    </row>
    <row r="425" spans="1:8" ht="18.75" x14ac:dyDescent="0.25">
      <c r="A425" s="14">
        <f t="shared" si="6"/>
        <v>424</v>
      </c>
      <c r="B425" s="15"/>
      <c r="C425" s="16"/>
      <c r="D425" s="16" t="s">
        <v>126</v>
      </c>
      <c r="E425" s="17" t="s">
        <v>90</v>
      </c>
      <c r="F425" s="44"/>
      <c r="G425" s="19"/>
      <c r="H425" s="20"/>
    </row>
    <row r="426" spans="1:8" ht="18.75" x14ac:dyDescent="0.25">
      <c r="A426" s="14">
        <f t="shared" si="6"/>
        <v>425</v>
      </c>
      <c r="B426" s="15"/>
      <c r="C426" s="16"/>
      <c r="D426" s="16" t="s">
        <v>127</v>
      </c>
      <c r="E426" s="17" t="s">
        <v>90</v>
      </c>
      <c r="F426" s="44"/>
      <c r="G426" s="19"/>
      <c r="H426" s="20"/>
    </row>
    <row r="427" spans="1:8" ht="18.75" x14ac:dyDescent="0.25">
      <c r="A427" s="14">
        <f t="shared" si="6"/>
        <v>426</v>
      </c>
      <c r="B427" s="15"/>
      <c r="C427" s="16" t="s">
        <v>321</v>
      </c>
      <c r="D427" s="16"/>
      <c r="E427" s="17" t="s">
        <v>95</v>
      </c>
      <c r="F427" s="44"/>
      <c r="G427" s="19"/>
      <c r="H427" s="20"/>
    </row>
    <row r="428" spans="1:8" ht="18.75" x14ac:dyDescent="0.25">
      <c r="A428" s="14">
        <f t="shared" si="6"/>
        <v>427</v>
      </c>
      <c r="B428" s="15"/>
      <c r="C428" s="16"/>
      <c r="D428" s="16" t="s">
        <v>339</v>
      </c>
      <c r="E428" s="17" t="s">
        <v>90</v>
      </c>
      <c r="F428" s="44"/>
      <c r="G428" s="19"/>
      <c r="H428" s="20"/>
    </row>
    <row r="429" spans="1:8" ht="18.75" x14ac:dyDescent="0.25">
      <c r="A429" s="14">
        <f t="shared" si="6"/>
        <v>428</v>
      </c>
      <c r="B429" s="15"/>
      <c r="C429" s="16"/>
      <c r="D429" s="16" t="s">
        <v>340</v>
      </c>
      <c r="E429" s="17" t="s">
        <v>90</v>
      </c>
      <c r="F429" s="44"/>
      <c r="G429" s="19"/>
      <c r="H429" s="20"/>
    </row>
    <row r="430" spans="1:8" ht="18.75" x14ac:dyDescent="0.25">
      <c r="A430" s="14">
        <f t="shared" si="6"/>
        <v>429</v>
      </c>
      <c r="B430" s="15"/>
      <c r="C430" s="16" t="s">
        <v>256</v>
      </c>
      <c r="D430" s="16"/>
      <c r="E430" s="17" t="s">
        <v>101</v>
      </c>
      <c r="F430" s="44"/>
      <c r="G430" s="19"/>
      <c r="H430" s="20"/>
    </row>
    <row r="431" spans="1:8" ht="18.75" x14ac:dyDescent="0.25">
      <c r="A431" s="14">
        <f t="shared" si="6"/>
        <v>430</v>
      </c>
      <c r="B431" s="15"/>
      <c r="C431" s="16" t="s">
        <v>320</v>
      </c>
      <c r="D431" s="16"/>
      <c r="E431" s="17" t="s">
        <v>89</v>
      </c>
      <c r="F431" s="44"/>
      <c r="G431" s="19"/>
      <c r="H431" s="20"/>
    </row>
    <row r="432" spans="1:8" ht="18.75" x14ac:dyDescent="0.25">
      <c r="A432" s="14">
        <f t="shared" si="6"/>
        <v>431</v>
      </c>
      <c r="B432" s="15"/>
      <c r="C432" s="16" t="s">
        <v>115</v>
      </c>
      <c r="D432" s="16"/>
      <c r="E432" s="17" t="s">
        <v>90</v>
      </c>
      <c r="F432" s="44"/>
      <c r="G432" s="19"/>
      <c r="H432" s="20"/>
    </row>
    <row r="433" spans="1:8" ht="18.75" x14ac:dyDescent="0.25">
      <c r="A433" s="14">
        <f t="shared" si="6"/>
        <v>432</v>
      </c>
      <c r="B433" s="15"/>
      <c r="C433" s="16" t="s">
        <v>322</v>
      </c>
      <c r="D433" s="16"/>
      <c r="E433" s="17" t="s">
        <v>101</v>
      </c>
      <c r="F433" s="44"/>
      <c r="G433" s="19"/>
      <c r="H433" s="20"/>
    </row>
    <row r="434" spans="1:8" ht="18.75" x14ac:dyDescent="0.25">
      <c r="A434" s="14">
        <f t="shared" si="6"/>
        <v>433</v>
      </c>
      <c r="B434" s="15" t="s">
        <v>323</v>
      </c>
      <c r="C434" s="16"/>
      <c r="D434" s="16"/>
      <c r="E434" s="17"/>
      <c r="F434" s="44"/>
      <c r="G434" s="19"/>
      <c r="H434" s="20"/>
    </row>
    <row r="435" spans="1:8" ht="56.25" x14ac:dyDescent="0.25">
      <c r="A435" s="14">
        <f t="shared" si="6"/>
        <v>434</v>
      </c>
      <c r="B435" s="15"/>
      <c r="C435" s="16" t="s">
        <v>386</v>
      </c>
      <c r="D435" s="16"/>
      <c r="E435" s="17" t="s">
        <v>91</v>
      </c>
      <c r="F435" s="44"/>
      <c r="G435" s="19"/>
      <c r="H435" s="20"/>
    </row>
    <row r="436" spans="1:8" ht="18.75" x14ac:dyDescent="0.25">
      <c r="A436" s="14">
        <f t="shared" si="6"/>
        <v>435</v>
      </c>
      <c r="B436" s="15" t="s">
        <v>324</v>
      </c>
      <c r="C436" s="16"/>
      <c r="D436" s="16"/>
      <c r="E436" s="17"/>
      <c r="F436" s="44"/>
      <c r="G436" s="19"/>
      <c r="H436" s="20"/>
    </row>
    <row r="437" spans="1:8" ht="56.25" x14ac:dyDescent="0.25">
      <c r="A437" s="14">
        <f t="shared" si="6"/>
        <v>436</v>
      </c>
      <c r="B437" s="15"/>
      <c r="C437" s="16" t="s">
        <v>387</v>
      </c>
      <c r="D437" s="16"/>
      <c r="E437" s="17" t="s">
        <v>91</v>
      </c>
      <c r="F437" s="44"/>
      <c r="G437" s="19"/>
      <c r="H437" s="20"/>
    </row>
    <row r="438" spans="1:8" ht="18.75" x14ac:dyDescent="0.25">
      <c r="A438" s="14">
        <f t="shared" si="6"/>
        <v>437</v>
      </c>
      <c r="B438" s="15" t="s">
        <v>325</v>
      </c>
      <c r="C438" s="16"/>
      <c r="D438" s="16"/>
      <c r="E438" s="17"/>
      <c r="F438" s="44"/>
      <c r="G438" s="19"/>
      <c r="H438" s="20"/>
    </row>
    <row r="439" spans="1:8" ht="18.75" x14ac:dyDescent="0.25">
      <c r="A439" s="14">
        <f t="shared" si="6"/>
        <v>438</v>
      </c>
      <c r="B439" s="15"/>
      <c r="C439" s="16" t="s">
        <v>315</v>
      </c>
      <c r="D439" s="16"/>
      <c r="E439" s="17" t="s">
        <v>91</v>
      </c>
      <c r="F439" s="44"/>
      <c r="G439" s="19"/>
      <c r="H439" s="20"/>
    </row>
    <row r="440" spans="1:8" ht="18.75" x14ac:dyDescent="0.25">
      <c r="A440" s="14">
        <f t="shared" si="6"/>
        <v>439</v>
      </c>
      <c r="B440" s="15"/>
      <c r="C440" s="16" t="s">
        <v>269</v>
      </c>
      <c r="D440" s="16"/>
      <c r="E440" s="17" t="s">
        <v>101</v>
      </c>
      <c r="F440" s="44"/>
      <c r="G440" s="19"/>
      <c r="H440" s="20"/>
    </row>
    <row r="441" spans="1:8" ht="18.75" x14ac:dyDescent="0.25">
      <c r="A441" s="14">
        <f t="shared" si="6"/>
        <v>440</v>
      </c>
      <c r="B441" s="15"/>
      <c r="C441" s="16" t="s">
        <v>316</v>
      </c>
      <c r="D441" s="16"/>
      <c r="E441" s="17" t="s">
        <v>116</v>
      </c>
      <c r="F441" s="44"/>
      <c r="G441" s="19"/>
      <c r="H441" s="20"/>
    </row>
    <row r="442" spans="1:8" ht="18.75" x14ac:dyDescent="0.25">
      <c r="A442" s="14">
        <f t="shared" si="6"/>
        <v>441</v>
      </c>
      <c r="B442" s="15"/>
      <c r="C442" s="16" t="s">
        <v>317</v>
      </c>
      <c r="D442" s="16"/>
      <c r="E442" s="17" t="s">
        <v>91</v>
      </c>
      <c r="F442" s="44"/>
      <c r="G442" s="19"/>
      <c r="H442" s="20"/>
    </row>
    <row r="443" spans="1:8" ht="18.75" x14ac:dyDescent="0.25">
      <c r="A443" s="14">
        <f t="shared" si="6"/>
        <v>442</v>
      </c>
      <c r="B443" s="15"/>
      <c r="C443" s="16" t="s">
        <v>326</v>
      </c>
      <c r="D443" s="16"/>
      <c r="E443" s="17" t="s">
        <v>91</v>
      </c>
      <c r="F443" s="44"/>
      <c r="G443" s="19"/>
      <c r="H443" s="20"/>
    </row>
    <row r="444" spans="1:8" ht="18.75" x14ac:dyDescent="0.25">
      <c r="A444" s="14">
        <f t="shared" si="6"/>
        <v>443</v>
      </c>
      <c r="B444" s="15"/>
      <c r="C444" s="16" t="s">
        <v>256</v>
      </c>
      <c r="D444" s="16"/>
      <c r="E444" s="17" t="s">
        <v>101</v>
      </c>
      <c r="F444" s="44"/>
      <c r="G444" s="19"/>
      <c r="H444" s="20"/>
    </row>
    <row r="445" spans="1:8" ht="18.75" x14ac:dyDescent="0.25">
      <c r="A445" s="14">
        <f t="shared" si="6"/>
        <v>444</v>
      </c>
      <c r="B445" s="15"/>
      <c r="C445" s="16" t="s">
        <v>322</v>
      </c>
      <c r="D445" s="16"/>
      <c r="E445" s="17" t="s">
        <v>101</v>
      </c>
      <c r="F445" s="44"/>
      <c r="G445" s="19"/>
      <c r="H445" s="20"/>
    </row>
    <row r="446" spans="1:8" ht="18.75" x14ac:dyDescent="0.25">
      <c r="A446" s="14">
        <f t="shared" si="6"/>
        <v>445</v>
      </c>
      <c r="B446" s="15" t="s">
        <v>323</v>
      </c>
      <c r="C446" s="16"/>
      <c r="D446" s="16"/>
      <c r="E446" s="17"/>
      <c r="F446" s="44"/>
      <c r="G446" s="19"/>
      <c r="H446" s="20"/>
    </row>
    <row r="447" spans="1:8" ht="56.25" x14ac:dyDescent="0.25">
      <c r="A447" s="14">
        <f t="shared" si="6"/>
        <v>446</v>
      </c>
      <c r="B447" s="15"/>
      <c r="C447" s="16" t="s">
        <v>386</v>
      </c>
      <c r="D447" s="16"/>
      <c r="E447" s="17" t="s">
        <v>91</v>
      </c>
      <c r="F447" s="44"/>
      <c r="G447" s="19"/>
      <c r="H447" s="20"/>
    </row>
    <row r="448" spans="1:8" ht="18.75" x14ac:dyDescent="0.25">
      <c r="A448" s="14">
        <f t="shared" si="6"/>
        <v>447</v>
      </c>
      <c r="B448" s="15" t="s">
        <v>327</v>
      </c>
      <c r="C448" s="16"/>
      <c r="D448" s="16"/>
      <c r="E448" s="17"/>
      <c r="F448" s="44"/>
      <c r="G448" s="19"/>
      <c r="H448" s="20"/>
    </row>
    <row r="449" spans="1:8" ht="18.75" x14ac:dyDescent="0.25">
      <c r="A449" s="14">
        <f t="shared" si="6"/>
        <v>448</v>
      </c>
      <c r="B449" s="15"/>
      <c r="C449" s="16" t="s">
        <v>15</v>
      </c>
      <c r="D449" s="16"/>
      <c r="E449" s="17" t="s">
        <v>158</v>
      </c>
      <c r="F449" s="44"/>
      <c r="G449" s="19"/>
      <c r="H449" s="20"/>
    </row>
    <row r="450" spans="1:8" ht="18.75" x14ac:dyDescent="0.25">
      <c r="A450" s="14">
        <f t="shared" si="6"/>
        <v>449</v>
      </c>
      <c r="B450" s="15"/>
      <c r="C450" s="16" t="s">
        <v>23</v>
      </c>
      <c r="D450" s="16"/>
      <c r="E450" s="17" t="s">
        <v>158</v>
      </c>
      <c r="F450" s="44"/>
      <c r="G450" s="19"/>
      <c r="H450" s="20"/>
    </row>
    <row r="451" spans="1:8" ht="18.75" x14ac:dyDescent="0.25">
      <c r="A451" s="14">
        <f t="shared" si="6"/>
        <v>450</v>
      </c>
      <c r="B451" s="15" t="s">
        <v>328</v>
      </c>
      <c r="C451" s="16"/>
      <c r="D451" s="16"/>
      <c r="E451" s="17"/>
      <c r="F451" s="44"/>
      <c r="G451" s="19"/>
      <c r="H451" s="20"/>
    </row>
    <row r="452" spans="1:8" ht="18.75" x14ac:dyDescent="0.25">
      <c r="A452" s="14">
        <f t="shared" ref="A452:A515" si="7">+A451+1</f>
        <v>451</v>
      </c>
      <c r="B452" s="15"/>
      <c r="C452" s="16" t="s">
        <v>319</v>
      </c>
      <c r="D452" s="16"/>
      <c r="E452" s="17" t="s">
        <v>90</v>
      </c>
      <c r="F452" s="44"/>
      <c r="G452" s="19"/>
      <c r="H452" s="20"/>
    </row>
    <row r="453" spans="1:8" ht="18.75" x14ac:dyDescent="0.25">
      <c r="A453" s="14">
        <f t="shared" si="7"/>
        <v>452</v>
      </c>
      <c r="B453" s="15"/>
      <c r="C453" s="16" t="s">
        <v>329</v>
      </c>
      <c r="D453" s="16"/>
      <c r="E453" s="17" t="s">
        <v>91</v>
      </c>
      <c r="F453" s="44"/>
      <c r="G453" s="19"/>
      <c r="H453" s="20"/>
    </row>
    <row r="454" spans="1:8" ht="18.75" x14ac:dyDescent="0.25">
      <c r="A454" s="14">
        <f t="shared" si="7"/>
        <v>453</v>
      </c>
      <c r="B454" s="15"/>
      <c r="C454" s="16"/>
      <c r="D454" s="16" t="s">
        <v>332</v>
      </c>
      <c r="E454" s="17" t="s">
        <v>334</v>
      </c>
      <c r="F454" s="44"/>
      <c r="G454" s="19"/>
      <c r="H454" s="20"/>
    </row>
    <row r="455" spans="1:8" ht="18.75" x14ac:dyDescent="0.25">
      <c r="A455" s="14">
        <f t="shared" si="7"/>
        <v>454</v>
      </c>
      <c r="B455" s="15"/>
      <c r="C455" s="16"/>
      <c r="D455" s="16" t="s">
        <v>333</v>
      </c>
      <c r="E455" s="17" t="s">
        <v>334</v>
      </c>
      <c r="F455" s="44"/>
      <c r="G455" s="19"/>
      <c r="H455" s="20"/>
    </row>
    <row r="456" spans="1:8" ht="18.75" x14ac:dyDescent="0.25">
      <c r="A456" s="14">
        <f t="shared" si="7"/>
        <v>455</v>
      </c>
      <c r="B456" s="15"/>
      <c r="C456" s="16" t="s">
        <v>330</v>
      </c>
      <c r="D456" s="16"/>
      <c r="E456" s="17" t="s">
        <v>95</v>
      </c>
      <c r="F456" s="44"/>
      <c r="G456" s="19"/>
      <c r="H456" s="20"/>
    </row>
    <row r="457" spans="1:8" ht="18.75" x14ac:dyDescent="0.25">
      <c r="A457" s="14">
        <f t="shared" si="7"/>
        <v>456</v>
      </c>
      <c r="B457" s="15"/>
      <c r="C457" s="16"/>
      <c r="D457" s="16" t="s">
        <v>339</v>
      </c>
      <c r="E457" s="17" t="s">
        <v>90</v>
      </c>
      <c r="F457" s="44"/>
      <c r="G457" s="19"/>
      <c r="H457" s="20"/>
    </row>
    <row r="458" spans="1:8" ht="18.75" x14ac:dyDescent="0.25">
      <c r="A458" s="14">
        <f t="shared" si="7"/>
        <v>457</v>
      </c>
      <c r="B458" s="15"/>
      <c r="C458" s="16"/>
      <c r="D458" s="16" t="s">
        <v>340</v>
      </c>
      <c r="E458" s="17" t="s">
        <v>90</v>
      </c>
      <c r="F458" s="44"/>
      <c r="G458" s="19"/>
      <c r="H458" s="20"/>
    </row>
    <row r="459" spans="1:8" ht="18.75" x14ac:dyDescent="0.25">
      <c r="A459" s="14">
        <f t="shared" si="7"/>
        <v>458</v>
      </c>
      <c r="B459" s="15"/>
      <c r="C459" s="16" t="s">
        <v>331</v>
      </c>
      <c r="D459" s="16"/>
      <c r="E459" s="17" t="s">
        <v>95</v>
      </c>
      <c r="F459" s="44"/>
      <c r="G459" s="19"/>
      <c r="H459" s="20"/>
    </row>
    <row r="460" spans="1:8" ht="18.75" x14ac:dyDescent="0.25">
      <c r="A460" s="14">
        <f t="shared" si="7"/>
        <v>459</v>
      </c>
      <c r="B460" s="15"/>
      <c r="C460" s="16"/>
      <c r="D460" s="16" t="s">
        <v>335</v>
      </c>
      <c r="E460" s="17" t="s">
        <v>89</v>
      </c>
      <c r="F460" s="44"/>
      <c r="G460" s="19"/>
      <c r="H460" s="20"/>
    </row>
    <row r="461" spans="1:8" ht="18.75" x14ac:dyDescent="0.25">
      <c r="A461" s="14">
        <f t="shared" si="7"/>
        <v>460</v>
      </c>
      <c r="B461" s="15"/>
      <c r="C461" s="16"/>
      <c r="D461" s="16" t="s">
        <v>336</v>
      </c>
      <c r="E461" s="17" t="s">
        <v>95</v>
      </c>
      <c r="F461" s="44"/>
      <c r="G461" s="19"/>
      <c r="H461" s="20"/>
    </row>
    <row r="462" spans="1:8" ht="18.75" x14ac:dyDescent="0.25">
      <c r="A462" s="14">
        <f t="shared" si="7"/>
        <v>461</v>
      </c>
      <c r="B462" s="15"/>
      <c r="C462" s="16"/>
      <c r="D462" s="16" t="s">
        <v>337</v>
      </c>
      <c r="E462" s="17" t="s">
        <v>95</v>
      </c>
      <c r="F462" s="44"/>
      <c r="G462" s="19"/>
      <c r="H462" s="20"/>
    </row>
    <row r="463" spans="1:8" ht="18.75" x14ac:dyDescent="0.25">
      <c r="A463" s="14">
        <f t="shared" si="7"/>
        <v>462</v>
      </c>
      <c r="B463" s="15" t="s">
        <v>338</v>
      </c>
      <c r="C463" s="16"/>
      <c r="D463" s="16"/>
      <c r="E463" s="17"/>
      <c r="F463" s="44"/>
      <c r="G463" s="19"/>
      <c r="H463" s="20"/>
    </row>
    <row r="464" spans="1:8" ht="18.75" x14ac:dyDescent="0.25">
      <c r="A464" s="14">
        <f t="shared" si="7"/>
        <v>463</v>
      </c>
      <c r="B464" s="15"/>
      <c r="C464" s="16" t="s">
        <v>329</v>
      </c>
      <c r="D464" s="16"/>
      <c r="E464" s="17" t="s">
        <v>91</v>
      </c>
      <c r="F464" s="44"/>
      <c r="G464" s="19"/>
      <c r="H464" s="20"/>
    </row>
    <row r="465" spans="1:8" ht="18.75" x14ac:dyDescent="0.25">
      <c r="A465" s="14">
        <f t="shared" si="7"/>
        <v>464</v>
      </c>
      <c r="B465" s="15"/>
      <c r="C465" s="16"/>
      <c r="D465" s="16" t="s">
        <v>332</v>
      </c>
      <c r="E465" s="17" t="s">
        <v>334</v>
      </c>
      <c r="F465" s="44"/>
      <c r="G465" s="19"/>
      <c r="H465" s="20"/>
    </row>
    <row r="466" spans="1:8" ht="18.75" x14ac:dyDescent="0.25">
      <c r="A466" s="14">
        <f t="shared" si="7"/>
        <v>465</v>
      </c>
      <c r="B466" s="15"/>
      <c r="C466" s="16"/>
      <c r="D466" s="16" t="s">
        <v>333</v>
      </c>
      <c r="E466" s="17" t="s">
        <v>334</v>
      </c>
      <c r="F466" s="44"/>
      <c r="G466" s="19"/>
      <c r="H466" s="20"/>
    </row>
    <row r="467" spans="1:8" ht="18.75" x14ac:dyDescent="0.25">
      <c r="A467" s="14">
        <f t="shared" si="7"/>
        <v>466</v>
      </c>
      <c r="B467" s="15"/>
      <c r="C467" s="16" t="s">
        <v>330</v>
      </c>
      <c r="D467" s="16"/>
      <c r="E467" s="17" t="s">
        <v>95</v>
      </c>
      <c r="F467" s="44"/>
      <c r="G467" s="19"/>
      <c r="H467" s="20"/>
    </row>
    <row r="468" spans="1:8" ht="18.75" x14ac:dyDescent="0.25">
      <c r="A468" s="14">
        <f t="shared" si="7"/>
        <v>467</v>
      </c>
      <c r="B468" s="15"/>
      <c r="C468" s="16"/>
      <c r="D468" s="16" t="s">
        <v>339</v>
      </c>
      <c r="E468" s="17" t="s">
        <v>90</v>
      </c>
      <c r="F468" s="44"/>
      <c r="G468" s="19"/>
      <c r="H468" s="20"/>
    </row>
    <row r="469" spans="1:8" ht="18.75" x14ac:dyDescent="0.25">
      <c r="A469" s="14">
        <f t="shared" si="7"/>
        <v>468</v>
      </c>
      <c r="B469" s="15"/>
      <c r="C469" s="16"/>
      <c r="D469" s="16" t="s">
        <v>340</v>
      </c>
      <c r="E469" s="17" t="s">
        <v>90</v>
      </c>
      <c r="F469" s="44"/>
      <c r="G469" s="19"/>
      <c r="H469" s="20"/>
    </row>
    <row r="470" spans="1:8" ht="18.75" x14ac:dyDescent="0.25">
      <c r="A470" s="14">
        <f t="shared" si="7"/>
        <v>469</v>
      </c>
      <c r="B470" s="15" t="s">
        <v>341</v>
      </c>
      <c r="C470" s="16"/>
      <c r="D470" s="16"/>
      <c r="E470" s="17"/>
      <c r="F470" s="44"/>
      <c r="G470" s="19"/>
      <c r="H470" s="20"/>
    </row>
    <row r="471" spans="1:8" ht="18.75" x14ac:dyDescent="0.25">
      <c r="A471" s="14">
        <f t="shared" si="7"/>
        <v>470</v>
      </c>
      <c r="B471" s="15"/>
      <c r="C471" s="16" t="s">
        <v>24</v>
      </c>
      <c r="D471" s="16"/>
      <c r="E471" s="17" t="s">
        <v>342</v>
      </c>
      <c r="F471" s="44"/>
      <c r="G471" s="19"/>
      <c r="H471" s="20"/>
    </row>
    <row r="472" spans="1:8" ht="18.75" x14ac:dyDescent="0.25">
      <c r="A472" s="14">
        <f t="shared" si="7"/>
        <v>471</v>
      </c>
      <c r="B472" s="15"/>
      <c r="C472" s="16" t="s">
        <v>343</v>
      </c>
      <c r="D472" s="16"/>
      <c r="E472" s="17" t="s">
        <v>90</v>
      </c>
      <c r="F472" s="44"/>
      <c r="G472" s="19"/>
      <c r="H472" s="20"/>
    </row>
    <row r="473" spans="1:8" ht="18.75" x14ac:dyDescent="0.25">
      <c r="A473" s="14">
        <f t="shared" si="7"/>
        <v>472</v>
      </c>
      <c r="B473" s="15"/>
      <c r="C473" s="16" t="s">
        <v>344</v>
      </c>
      <c r="D473" s="16"/>
      <c r="E473" s="17" t="s">
        <v>90</v>
      </c>
      <c r="F473" s="44"/>
      <c r="G473" s="19"/>
      <c r="H473" s="20"/>
    </row>
    <row r="474" spans="1:8" ht="18.75" x14ac:dyDescent="0.25">
      <c r="A474" s="14">
        <f t="shared" si="7"/>
        <v>473</v>
      </c>
      <c r="B474" s="15"/>
      <c r="C474" s="16" t="s">
        <v>345</v>
      </c>
      <c r="D474" s="16"/>
      <c r="E474" s="17" t="s">
        <v>90</v>
      </c>
      <c r="F474" s="44"/>
      <c r="G474" s="19"/>
      <c r="H474" s="20"/>
    </row>
    <row r="475" spans="1:8" ht="18.75" x14ac:dyDescent="0.25">
      <c r="A475" s="14">
        <f t="shared" si="7"/>
        <v>474</v>
      </c>
      <c r="B475" s="15"/>
      <c r="C475" s="16" t="s">
        <v>346</v>
      </c>
      <c r="D475" s="16"/>
      <c r="E475" s="17" t="s">
        <v>101</v>
      </c>
      <c r="F475" s="44"/>
      <c r="G475" s="19"/>
      <c r="H475" s="20"/>
    </row>
    <row r="476" spans="1:8" ht="18.75" x14ac:dyDescent="0.25">
      <c r="A476" s="14">
        <f t="shared" si="7"/>
        <v>475</v>
      </c>
      <c r="B476" s="15"/>
      <c r="C476" s="16" t="s">
        <v>347</v>
      </c>
      <c r="D476" s="16"/>
      <c r="E476" s="17" t="s">
        <v>91</v>
      </c>
      <c r="F476" s="44"/>
      <c r="G476" s="19"/>
      <c r="H476" s="20"/>
    </row>
    <row r="477" spans="1:8" ht="18.75" x14ac:dyDescent="0.25">
      <c r="A477" s="14">
        <f t="shared" si="7"/>
        <v>476</v>
      </c>
      <c r="B477" s="15"/>
      <c r="C477" s="16" t="s">
        <v>53</v>
      </c>
      <c r="D477" s="16"/>
      <c r="E477" s="17" t="s">
        <v>91</v>
      </c>
      <c r="F477" s="44"/>
      <c r="G477" s="19"/>
      <c r="H477" s="20"/>
    </row>
    <row r="478" spans="1:8" ht="37.5" x14ac:dyDescent="0.25">
      <c r="A478" s="14">
        <f t="shared" si="7"/>
        <v>477</v>
      </c>
      <c r="B478" s="15"/>
      <c r="C478" s="16"/>
      <c r="D478" s="16" t="s">
        <v>388</v>
      </c>
      <c r="E478" s="17"/>
      <c r="F478" s="44"/>
      <c r="G478" s="19"/>
      <c r="H478" s="20"/>
    </row>
    <row r="479" spans="1:8" ht="18.75" x14ac:dyDescent="0.25">
      <c r="A479" s="14">
        <f t="shared" si="7"/>
        <v>478</v>
      </c>
      <c r="B479" s="15" t="s">
        <v>349</v>
      </c>
      <c r="C479" s="16"/>
      <c r="D479" s="16"/>
      <c r="E479" s="17"/>
      <c r="F479" s="44"/>
      <c r="G479" s="19"/>
      <c r="H479" s="20"/>
    </row>
    <row r="480" spans="1:8" ht="56.25" x14ac:dyDescent="0.25">
      <c r="A480" s="14">
        <f t="shared" si="7"/>
        <v>479</v>
      </c>
      <c r="B480" s="15"/>
      <c r="C480" s="16" t="s">
        <v>389</v>
      </c>
      <c r="D480" s="16"/>
      <c r="E480" s="17"/>
      <c r="F480" s="44"/>
      <c r="G480" s="19"/>
      <c r="H480" s="20"/>
    </row>
    <row r="481" spans="1:8" ht="18.75" x14ac:dyDescent="0.25">
      <c r="A481" s="14">
        <f t="shared" si="7"/>
        <v>480</v>
      </c>
      <c r="B481" s="15" t="s">
        <v>348</v>
      </c>
      <c r="C481" s="16"/>
      <c r="D481" s="16"/>
      <c r="E481" s="17"/>
      <c r="F481" s="44"/>
      <c r="G481" s="19"/>
      <c r="H481" s="20"/>
    </row>
    <row r="482" spans="1:8" ht="56.25" x14ac:dyDescent="0.25">
      <c r="A482" s="14">
        <f t="shared" si="7"/>
        <v>481</v>
      </c>
      <c r="B482" s="15"/>
      <c r="C482" s="16" t="s">
        <v>386</v>
      </c>
      <c r="D482" s="16"/>
      <c r="E482" s="17"/>
      <c r="F482" s="44"/>
      <c r="G482" s="19"/>
      <c r="H482" s="20"/>
    </row>
    <row r="483" spans="1:8" ht="18.75" x14ac:dyDescent="0.25">
      <c r="A483" s="14">
        <f t="shared" si="7"/>
        <v>482</v>
      </c>
      <c r="B483" s="15" t="s">
        <v>350</v>
      </c>
      <c r="C483" s="16"/>
      <c r="D483" s="16"/>
      <c r="E483" s="17"/>
      <c r="F483" s="44"/>
      <c r="G483" s="19"/>
      <c r="H483" s="20"/>
    </row>
    <row r="484" spans="1:8" ht="18.75" x14ac:dyDescent="0.25">
      <c r="A484" s="14">
        <f t="shared" si="7"/>
        <v>483</v>
      </c>
      <c r="B484" s="15"/>
      <c r="C484" s="16" t="s">
        <v>351</v>
      </c>
      <c r="D484" s="16"/>
      <c r="E484" s="17" t="s">
        <v>101</v>
      </c>
      <c r="F484" s="44"/>
      <c r="G484" s="19"/>
      <c r="H484" s="20"/>
    </row>
    <row r="485" spans="1:8" ht="18.75" x14ac:dyDescent="0.25">
      <c r="A485" s="14">
        <f t="shared" si="7"/>
        <v>484</v>
      </c>
      <c r="B485" s="15"/>
      <c r="C485" s="16"/>
      <c r="D485" s="16" t="s">
        <v>354</v>
      </c>
      <c r="E485" s="17" t="s">
        <v>101</v>
      </c>
      <c r="F485" s="44"/>
      <c r="G485" s="19"/>
      <c r="H485" s="20"/>
    </row>
    <row r="486" spans="1:8" ht="18.75" x14ac:dyDescent="0.25">
      <c r="A486" s="14">
        <f t="shared" si="7"/>
        <v>485</v>
      </c>
      <c r="B486" s="15"/>
      <c r="C486" s="16"/>
      <c r="D486" s="16" t="s">
        <v>355</v>
      </c>
      <c r="E486" s="17" t="s">
        <v>101</v>
      </c>
      <c r="F486" s="44"/>
      <c r="G486" s="19"/>
      <c r="H486" s="20"/>
    </row>
    <row r="487" spans="1:8" ht="18.75" x14ac:dyDescent="0.25">
      <c r="A487" s="14">
        <f t="shared" si="7"/>
        <v>486</v>
      </c>
      <c r="B487" s="15"/>
      <c r="C487" s="16"/>
      <c r="D487" s="16" t="s">
        <v>353</v>
      </c>
      <c r="E487" s="17" t="s">
        <v>101</v>
      </c>
      <c r="F487" s="44"/>
      <c r="G487" s="19"/>
      <c r="H487" s="20"/>
    </row>
    <row r="488" spans="1:8" ht="18.75" x14ac:dyDescent="0.25">
      <c r="A488" s="14">
        <f t="shared" si="7"/>
        <v>487</v>
      </c>
      <c r="B488" s="15"/>
      <c r="C488" s="16"/>
      <c r="D488" s="16" t="s">
        <v>38</v>
      </c>
      <c r="E488" s="17" t="s">
        <v>101</v>
      </c>
      <c r="F488" s="44"/>
      <c r="G488" s="19"/>
      <c r="H488" s="20"/>
    </row>
    <row r="489" spans="1:8" ht="18.75" x14ac:dyDescent="0.25">
      <c r="A489" s="14">
        <f t="shared" si="7"/>
        <v>488</v>
      </c>
      <c r="B489" s="15"/>
      <c r="C489" s="16" t="s">
        <v>352</v>
      </c>
      <c r="D489" s="16"/>
      <c r="E489" s="17" t="s">
        <v>95</v>
      </c>
      <c r="F489" s="44"/>
      <c r="G489" s="19"/>
      <c r="H489" s="20"/>
    </row>
    <row r="490" spans="1:8" ht="18.75" x14ac:dyDescent="0.25">
      <c r="A490" s="14">
        <f t="shared" si="7"/>
        <v>489</v>
      </c>
      <c r="B490" s="15"/>
      <c r="C490" s="16"/>
      <c r="D490" s="16" t="s">
        <v>339</v>
      </c>
      <c r="E490" s="17" t="s">
        <v>90</v>
      </c>
      <c r="F490" s="44"/>
      <c r="G490" s="19"/>
      <c r="H490" s="20"/>
    </row>
    <row r="491" spans="1:8" ht="18.75" x14ac:dyDescent="0.25">
      <c r="A491" s="14">
        <f t="shared" si="7"/>
        <v>490</v>
      </c>
      <c r="B491" s="15"/>
      <c r="C491" s="16"/>
      <c r="D491" s="16" t="s">
        <v>340</v>
      </c>
      <c r="E491" s="17" t="s">
        <v>90</v>
      </c>
      <c r="F491" s="44"/>
      <c r="G491" s="19"/>
      <c r="H491" s="20"/>
    </row>
    <row r="492" spans="1:8" ht="18.75" x14ac:dyDescent="0.25">
      <c r="A492" s="14">
        <f t="shared" si="7"/>
        <v>491</v>
      </c>
      <c r="B492" s="15" t="s">
        <v>356</v>
      </c>
      <c r="C492" s="16"/>
      <c r="D492" s="16"/>
      <c r="E492" s="17"/>
      <c r="F492" s="44"/>
      <c r="G492" s="19"/>
      <c r="H492" s="20"/>
    </row>
    <row r="493" spans="1:8" ht="18.75" x14ac:dyDescent="0.25">
      <c r="A493" s="14">
        <f t="shared" si="7"/>
        <v>492</v>
      </c>
      <c r="B493" s="15"/>
      <c r="C493" s="16" t="s">
        <v>15</v>
      </c>
      <c r="D493" s="16"/>
      <c r="E493" s="17" t="s">
        <v>158</v>
      </c>
      <c r="F493" s="44"/>
      <c r="G493" s="19"/>
      <c r="H493" s="20"/>
    </row>
    <row r="494" spans="1:8" ht="18.75" x14ac:dyDescent="0.25">
      <c r="A494" s="14">
        <f t="shared" si="7"/>
        <v>493</v>
      </c>
      <c r="B494" s="15"/>
      <c r="C494" s="16" t="s">
        <v>23</v>
      </c>
      <c r="D494" s="16"/>
      <c r="E494" s="17" t="s">
        <v>158</v>
      </c>
      <c r="F494" s="44"/>
      <c r="G494" s="19"/>
      <c r="H494" s="20"/>
    </row>
    <row r="495" spans="1:8" ht="18.75" x14ac:dyDescent="0.25">
      <c r="A495" s="14">
        <f t="shared" si="7"/>
        <v>494</v>
      </c>
      <c r="B495" s="15"/>
      <c r="C495" s="16" t="s">
        <v>27</v>
      </c>
      <c r="D495" s="16"/>
      <c r="E495" s="17" t="s">
        <v>158</v>
      </c>
      <c r="F495" s="44"/>
      <c r="G495" s="19"/>
      <c r="H495" s="20"/>
    </row>
    <row r="496" spans="1:8" ht="18.75" x14ac:dyDescent="0.25">
      <c r="A496" s="14">
        <f t="shared" si="7"/>
        <v>495</v>
      </c>
      <c r="B496" s="15" t="s">
        <v>357</v>
      </c>
      <c r="C496" s="16"/>
      <c r="D496" s="16"/>
      <c r="E496" s="17"/>
      <c r="F496" s="44"/>
      <c r="G496" s="19"/>
      <c r="H496" s="20"/>
    </row>
    <row r="497" spans="1:8" ht="18.75" x14ac:dyDescent="0.25">
      <c r="A497" s="14">
        <f t="shared" si="7"/>
        <v>496</v>
      </c>
      <c r="B497" s="15"/>
      <c r="C497" s="16" t="s">
        <v>434</v>
      </c>
      <c r="D497" s="16"/>
      <c r="E497" s="17" t="s">
        <v>94</v>
      </c>
      <c r="F497" s="44"/>
      <c r="G497" s="19"/>
      <c r="H497" s="20"/>
    </row>
    <row r="498" spans="1:8" ht="18.75" x14ac:dyDescent="0.25">
      <c r="A498" s="14">
        <f t="shared" si="7"/>
        <v>497</v>
      </c>
      <c r="B498" s="15"/>
      <c r="C498" s="16" t="s">
        <v>358</v>
      </c>
      <c r="D498" s="16"/>
      <c r="E498" s="17" t="s">
        <v>91</v>
      </c>
      <c r="F498" s="44"/>
      <c r="G498" s="19"/>
      <c r="H498" s="20"/>
    </row>
    <row r="499" spans="1:8" ht="18.75" x14ac:dyDescent="0.25">
      <c r="A499" s="14">
        <f t="shared" si="7"/>
        <v>498</v>
      </c>
      <c r="B499" s="15"/>
      <c r="C499" s="16" t="s">
        <v>269</v>
      </c>
      <c r="D499" s="16"/>
      <c r="E499" s="17" t="s">
        <v>101</v>
      </c>
      <c r="F499" s="44"/>
      <c r="G499" s="19"/>
      <c r="H499" s="20"/>
    </row>
    <row r="500" spans="1:8" ht="18.75" x14ac:dyDescent="0.25">
      <c r="A500" s="14">
        <f t="shared" si="7"/>
        <v>499</v>
      </c>
      <c r="B500" s="15"/>
      <c r="C500" s="16" t="s">
        <v>38</v>
      </c>
      <c r="D500" s="16"/>
      <c r="E500" s="17" t="s">
        <v>95</v>
      </c>
      <c r="F500" s="44"/>
      <c r="G500" s="19"/>
      <c r="H500" s="20"/>
    </row>
    <row r="501" spans="1:8" ht="18.75" x14ac:dyDescent="0.25">
      <c r="A501" s="14">
        <f t="shared" si="7"/>
        <v>500</v>
      </c>
      <c r="B501" s="15" t="s">
        <v>359</v>
      </c>
      <c r="C501" s="16"/>
      <c r="D501" s="16"/>
      <c r="E501" s="17"/>
      <c r="F501" s="44"/>
      <c r="G501" s="19"/>
      <c r="H501" s="20"/>
    </row>
    <row r="502" spans="1:8" ht="18.75" x14ac:dyDescent="0.25">
      <c r="A502" s="14">
        <f t="shared" si="7"/>
        <v>501</v>
      </c>
      <c r="B502" s="15"/>
      <c r="C502" s="16" t="s">
        <v>14</v>
      </c>
      <c r="D502" s="16"/>
      <c r="E502" s="17" t="s">
        <v>158</v>
      </c>
      <c r="F502" s="44"/>
      <c r="G502" s="19"/>
      <c r="H502" s="20"/>
    </row>
    <row r="503" spans="1:8" ht="18.75" x14ac:dyDescent="0.25">
      <c r="A503" s="14">
        <f t="shared" si="7"/>
        <v>502</v>
      </c>
      <c r="B503" s="15"/>
      <c r="C503" s="16" t="s">
        <v>9</v>
      </c>
      <c r="D503" s="16"/>
      <c r="E503" s="17" t="s">
        <v>158</v>
      </c>
      <c r="F503" s="44"/>
      <c r="G503" s="19"/>
      <c r="H503" s="20"/>
    </row>
    <row r="504" spans="1:8" ht="18.75" x14ac:dyDescent="0.25">
      <c r="A504" s="14">
        <f t="shared" si="7"/>
        <v>503</v>
      </c>
      <c r="B504" s="15" t="s">
        <v>361</v>
      </c>
      <c r="C504" s="16"/>
      <c r="D504" s="16"/>
      <c r="E504" s="17"/>
      <c r="F504" s="44"/>
      <c r="G504" s="19"/>
      <c r="H504" s="20"/>
    </row>
    <row r="505" spans="1:8" ht="18.75" x14ac:dyDescent="0.25">
      <c r="A505" s="14">
        <f t="shared" si="7"/>
        <v>504</v>
      </c>
      <c r="B505" s="15"/>
      <c r="C505" s="16" t="s">
        <v>15</v>
      </c>
      <c r="D505" s="16"/>
      <c r="E505" s="17" t="s">
        <v>90</v>
      </c>
      <c r="F505" s="44"/>
      <c r="G505" s="19"/>
      <c r="H505" s="20"/>
    </row>
    <row r="506" spans="1:8" ht="18.75" x14ac:dyDescent="0.25">
      <c r="A506" s="14">
        <f t="shared" si="7"/>
        <v>505</v>
      </c>
      <c r="B506" s="15"/>
      <c r="C506" s="16" t="s">
        <v>20</v>
      </c>
      <c r="D506" s="16"/>
      <c r="E506" s="17" t="s">
        <v>90</v>
      </c>
      <c r="F506" s="44"/>
      <c r="G506" s="19"/>
      <c r="H506" s="20"/>
    </row>
    <row r="507" spans="1:8" ht="18.75" x14ac:dyDescent="0.25">
      <c r="A507" s="14">
        <f t="shared" si="7"/>
        <v>506</v>
      </c>
      <c r="B507" s="15"/>
      <c r="C507" s="16" t="s">
        <v>106</v>
      </c>
      <c r="D507" s="16"/>
      <c r="E507" s="17" t="s">
        <v>89</v>
      </c>
      <c r="F507" s="44"/>
      <c r="G507" s="19"/>
      <c r="H507" s="20"/>
    </row>
    <row r="508" spans="1:8" ht="18.75" x14ac:dyDescent="0.25">
      <c r="A508" s="14">
        <f t="shared" si="7"/>
        <v>507</v>
      </c>
      <c r="B508" s="15"/>
      <c r="C508" s="16" t="s">
        <v>107</v>
      </c>
      <c r="D508" s="16"/>
      <c r="E508" s="17" t="s">
        <v>89</v>
      </c>
      <c r="F508" s="44"/>
      <c r="G508" s="19"/>
      <c r="H508" s="20"/>
    </row>
    <row r="509" spans="1:8" ht="18.75" x14ac:dyDescent="0.25">
      <c r="A509" s="14">
        <f t="shared" si="7"/>
        <v>508</v>
      </c>
      <c r="B509" s="15"/>
      <c r="C509" s="16" t="s">
        <v>109</v>
      </c>
      <c r="D509" s="16"/>
      <c r="E509" s="17" t="s">
        <v>89</v>
      </c>
      <c r="F509" s="44"/>
      <c r="G509" s="19"/>
      <c r="H509" s="20"/>
    </row>
    <row r="510" spans="1:8" ht="18.75" x14ac:dyDescent="0.25">
      <c r="A510" s="14">
        <f t="shared" si="7"/>
        <v>509</v>
      </c>
      <c r="B510" s="15"/>
      <c r="C510" s="16" t="s">
        <v>7</v>
      </c>
      <c r="D510" s="16"/>
      <c r="E510" s="17" t="s">
        <v>91</v>
      </c>
      <c r="F510" s="44"/>
      <c r="G510" s="19"/>
      <c r="H510" s="20"/>
    </row>
    <row r="511" spans="1:8" ht="18.75" x14ac:dyDescent="0.25">
      <c r="A511" s="14">
        <f t="shared" si="7"/>
        <v>510</v>
      </c>
      <c r="B511" s="15"/>
      <c r="C511" s="16" t="s">
        <v>112</v>
      </c>
      <c r="D511" s="16"/>
      <c r="E511" s="17" t="s">
        <v>89</v>
      </c>
      <c r="F511" s="44"/>
      <c r="G511" s="19"/>
      <c r="H511" s="20"/>
    </row>
    <row r="512" spans="1:8" ht="18.75" x14ac:dyDescent="0.25">
      <c r="A512" s="14">
        <f t="shared" si="7"/>
        <v>511</v>
      </c>
      <c r="B512" s="15"/>
      <c r="C512" s="16" t="s">
        <v>113</v>
      </c>
      <c r="D512" s="16"/>
      <c r="E512" s="17" t="s">
        <v>117</v>
      </c>
      <c r="F512" s="44"/>
      <c r="G512" s="19"/>
      <c r="H512" s="20"/>
    </row>
    <row r="513" spans="1:8" ht="18.75" x14ac:dyDescent="0.25">
      <c r="A513" s="14">
        <f t="shared" si="7"/>
        <v>512</v>
      </c>
      <c r="B513" s="15"/>
      <c r="C513" s="16" t="s">
        <v>130</v>
      </c>
      <c r="D513" s="16"/>
      <c r="E513" s="17" t="s">
        <v>101</v>
      </c>
      <c r="F513" s="44"/>
      <c r="G513" s="19"/>
      <c r="H513" s="20"/>
    </row>
    <row r="514" spans="1:8" ht="18.75" x14ac:dyDescent="0.25">
      <c r="A514" s="14">
        <f t="shared" si="7"/>
        <v>513</v>
      </c>
      <c r="B514" s="15"/>
      <c r="C514" s="16"/>
      <c r="D514" s="16" t="s">
        <v>131</v>
      </c>
      <c r="E514" s="17" t="s">
        <v>90</v>
      </c>
      <c r="F514" s="44"/>
      <c r="G514" s="19"/>
      <c r="H514" s="20"/>
    </row>
    <row r="515" spans="1:8" ht="18.75" x14ac:dyDescent="0.25">
      <c r="A515" s="14">
        <f t="shared" si="7"/>
        <v>514</v>
      </c>
      <c r="B515" s="15"/>
      <c r="C515" s="16"/>
      <c r="D515" s="16" t="s">
        <v>132</v>
      </c>
      <c r="E515" s="17" t="s">
        <v>90</v>
      </c>
      <c r="F515" s="44"/>
      <c r="G515" s="19"/>
      <c r="H515" s="20"/>
    </row>
    <row r="516" spans="1:8" ht="18.75" x14ac:dyDescent="0.25">
      <c r="A516" s="14">
        <f t="shared" ref="A516:A579" si="8">+A515+1</f>
        <v>515</v>
      </c>
      <c r="B516" s="15"/>
      <c r="C516" s="16"/>
      <c r="D516" s="16" t="s">
        <v>133</v>
      </c>
      <c r="E516" s="17" t="s">
        <v>90</v>
      </c>
      <c r="F516" s="44"/>
      <c r="G516" s="19"/>
      <c r="H516" s="20"/>
    </row>
    <row r="517" spans="1:8" ht="18.75" x14ac:dyDescent="0.25">
      <c r="A517" s="14">
        <f t="shared" si="8"/>
        <v>516</v>
      </c>
      <c r="B517" s="15"/>
      <c r="C517" s="16"/>
      <c r="D517" s="16" t="s">
        <v>134</v>
      </c>
      <c r="E517" s="17" t="s">
        <v>120</v>
      </c>
      <c r="F517" s="44"/>
      <c r="G517" s="19"/>
      <c r="H517" s="20"/>
    </row>
    <row r="518" spans="1:8" ht="18.75" x14ac:dyDescent="0.25">
      <c r="A518" s="14">
        <f t="shared" si="8"/>
        <v>517</v>
      </c>
      <c r="B518" s="15"/>
      <c r="C518" s="16" t="s">
        <v>136</v>
      </c>
      <c r="D518" s="16"/>
      <c r="E518" s="17" t="s">
        <v>101</v>
      </c>
      <c r="F518" s="44"/>
      <c r="G518" s="19"/>
      <c r="H518" s="20"/>
    </row>
    <row r="519" spans="1:8" ht="18.75" x14ac:dyDescent="0.25">
      <c r="A519" s="14">
        <f t="shared" si="8"/>
        <v>518</v>
      </c>
      <c r="B519" s="15"/>
      <c r="C519" s="16"/>
      <c r="D519" s="16" t="s">
        <v>131</v>
      </c>
      <c r="E519" s="17" t="s">
        <v>90</v>
      </c>
      <c r="F519" s="44"/>
      <c r="G519" s="19"/>
      <c r="H519" s="20"/>
    </row>
    <row r="520" spans="1:8" ht="18.75" x14ac:dyDescent="0.25">
      <c r="A520" s="14">
        <f t="shared" si="8"/>
        <v>519</v>
      </c>
      <c r="B520" s="15"/>
      <c r="C520" s="16"/>
      <c r="D520" s="16" t="s">
        <v>135</v>
      </c>
      <c r="E520" s="17" t="s">
        <v>90</v>
      </c>
      <c r="F520" s="44"/>
      <c r="G520" s="19"/>
      <c r="H520" s="20"/>
    </row>
    <row r="521" spans="1:8" ht="18.75" x14ac:dyDescent="0.25">
      <c r="A521" s="14">
        <f t="shared" si="8"/>
        <v>520</v>
      </c>
      <c r="B521" s="15"/>
      <c r="C521" s="16" t="s">
        <v>137</v>
      </c>
      <c r="D521" s="16"/>
      <c r="E521" s="17" t="s">
        <v>101</v>
      </c>
      <c r="F521" s="44"/>
      <c r="G521" s="19"/>
      <c r="H521" s="20"/>
    </row>
    <row r="522" spans="1:8" ht="18.75" x14ac:dyDescent="0.25">
      <c r="A522" s="14">
        <f t="shared" si="8"/>
        <v>521</v>
      </c>
      <c r="B522" s="15"/>
      <c r="C522" s="16"/>
      <c r="D522" s="16" t="s">
        <v>138</v>
      </c>
      <c r="E522" s="17" t="s">
        <v>90</v>
      </c>
      <c r="F522" s="44"/>
      <c r="G522" s="19"/>
      <c r="H522" s="20"/>
    </row>
    <row r="523" spans="1:8" ht="18.75" x14ac:dyDescent="0.25">
      <c r="A523" s="14">
        <f t="shared" si="8"/>
        <v>522</v>
      </c>
      <c r="B523" s="15"/>
      <c r="C523" s="16"/>
      <c r="D523" s="16" t="s">
        <v>132</v>
      </c>
      <c r="E523" s="17" t="s">
        <v>90</v>
      </c>
      <c r="F523" s="44"/>
      <c r="G523" s="19"/>
      <c r="H523" s="20"/>
    </row>
    <row r="524" spans="1:8" ht="18.75" x14ac:dyDescent="0.25">
      <c r="A524" s="14">
        <f t="shared" si="8"/>
        <v>523</v>
      </c>
      <c r="B524" s="15"/>
      <c r="C524" s="16"/>
      <c r="D524" s="16" t="s">
        <v>139</v>
      </c>
      <c r="E524" s="17" t="s">
        <v>90</v>
      </c>
      <c r="F524" s="44"/>
      <c r="G524" s="19"/>
      <c r="H524" s="20"/>
    </row>
    <row r="525" spans="1:8" ht="18.75" x14ac:dyDescent="0.25">
      <c r="A525" s="14">
        <f t="shared" si="8"/>
        <v>524</v>
      </c>
      <c r="B525" s="15"/>
      <c r="C525" s="16"/>
      <c r="D525" s="16" t="s">
        <v>140</v>
      </c>
      <c r="E525" s="17" t="s">
        <v>90</v>
      </c>
      <c r="F525" s="44"/>
      <c r="G525" s="19"/>
      <c r="H525" s="20"/>
    </row>
    <row r="526" spans="1:8" ht="18.75" x14ac:dyDescent="0.25">
      <c r="A526" s="14">
        <f t="shared" si="8"/>
        <v>525</v>
      </c>
      <c r="B526" s="15"/>
      <c r="C526" s="16"/>
      <c r="D526" s="16" t="s">
        <v>141</v>
      </c>
      <c r="E526" s="17" t="s">
        <v>90</v>
      </c>
      <c r="F526" s="44"/>
      <c r="G526" s="19"/>
      <c r="H526" s="20"/>
    </row>
    <row r="527" spans="1:8" ht="18.75" x14ac:dyDescent="0.25">
      <c r="A527" s="14">
        <f t="shared" si="8"/>
        <v>526</v>
      </c>
      <c r="B527" s="15"/>
      <c r="C527" s="16"/>
      <c r="D527" s="16" t="s">
        <v>142</v>
      </c>
      <c r="E527" s="17" t="s">
        <v>120</v>
      </c>
      <c r="F527" s="44"/>
      <c r="G527" s="19"/>
      <c r="H527" s="20"/>
    </row>
    <row r="528" spans="1:8" ht="18.75" x14ac:dyDescent="0.25">
      <c r="A528" s="14">
        <f t="shared" si="8"/>
        <v>527</v>
      </c>
      <c r="B528" s="15" t="s">
        <v>360</v>
      </c>
      <c r="C528" s="16"/>
      <c r="D528" s="16"/>
      <c r="E528" s="17"/>
      <c r="F528" s="44"/>
      <c r="G528" s="19"/>
      <c r="H528" s="20"/>
    </row>
    <row r="529" spans="1:8" ht="56.25" x14ac:dyDescent="0.25">
      <c r="A529" s="14">
        <f t="shared" si="8"/>
        <v>528</v>
      </c>
      <c r="B529" s="15"/>
      <c r="C529" s="16" t="s">
        <v>390</v>
      </c>
      <c r="D529" s="16"/>
      <c r="E529" s="17"/>
      <c r="F529" s="44"/>
      <c r="G529" s="19"/>
      <c r="H529" s="20"/>
    </row>
    <row r="530" spans="1:8" ht="18.75" x14ac:dyDescent="0.25">
      <c r="A530" s="14">
        <f t="shared" si="8"/>
        <v>529</v>
      </c>
      <c r="B530" s="15" t="s">
        <v>362</v>
      </c>
      <c r="C530" s="16"/>
      <c r="D530" s="16"/>
      <c r="E530" s="17"/>
      <c r="F530" s="44"/>
      <c r="G530" s="19"/>
      <c r="H530" s="20"/>
    </row>
    <row r="531" spans="1:8" ht="37.5" x14ac:dyDescent="0.25">
      <c r="A531" s="14">
        <f t="shared" si="8"/>
        <v>530</v>
      </c>
      <c r="B531" s="15"/>
      <c r="C531" s="16" t="s">
        <v>391</v>
      </c>
      <c r="D531" s="16"/>
      <c r="E531" s="17"/>
      <c r="F531" s="44"/>
      <c r="G531" s="19"/>
      <c r="H531" s="20"/>
    </row>
    <row r="532" spans="1:8" ht="18.75" x14ac:dyDescent="0.25">
      <c r="A532" s="14">
        <f t="shared" si="8"/>
        <v>531</v>
      </c>
      <c r="B532" s="15" t="s">
        <v>363</v>
      </c>
      <c r="C532" s="16"/>
      <c r="D532" s="16"/>
      <c r="E532" s="17"/>
      <c r="F532" s="44"/>
      <c r="G532" s="19"/>
      <c r="H532" s="20"/>
    </row>
    <row r="533" spans="1:8" ht="18.75" x14ac:dyDescent="0.25">
      <c r="A533" s="14">
        <f t="shared" si="8"/>
        <v>532</v>
      </c>
      <c r="B533" s="15"/>
      <c r="C533" s="16" t="s">
        <v>364</v>
      </c>
      <c r="D533" s="16"/>
      <c r="E533" s="17" t="s">
        <v>93</v>
      </c>
      <c r="F533" s="44"/>
      <c r="G533" s="19"/>
      <c r="H533" s="20"/>
    </row>
    <row r="534" spans="1:8" ht="18.75" x14ac:dyDescent="0.25">
      <c r="A534" s="14">
        <f t="shared" si="8"/>
        <v>533</v>
      </c>
      <c r="B534" s="15"/>
      <c r="C534" s="16" t="s">
        <v>365</v>
      </c>
      <c r="D534" s="16"/>
      <c r="E534" s="17" t="s">
        <v>93</v>
      </c>
      <c r="F534" s="44"/>
      <c r="G534" s="19"/>
      <c r="H534" s="20"/>
    </row>
    <row r="535" spans="1:8" ht="18.75" x14ac:dyDescent="0.25">
      <c r="A535" s="14">
        <f t="shared" si="8"/>
        <v>534</v>
      </c>
      <c r="B535" s="15"/>
      <c r="C535" s="16" t="s">
        <v>335</v>
      </c>
      <c r="D535" s="16"/>
      <c r="E535" s="17" t="s">
        <v>89</v>
      </c>
      <c r="F535" s="44"/>
      <c r="G535" s="19"/>
      <c r="H535" s="20"/>
    </row>
    <row r="536" spans="1:8" ht="18.75" x14ac:dyDescent="0.25">
      <c r="A536" s="14">
        <f t="shared" si="8"/>
        <v>535</v>
      </c>
      <c r="B536" s="15"/>
      <c r="C536" s="16" t="s">
        <v>366</v>
      </c>
      <c r="D536" s="16"/>
      <c r="E536" s="17" t="s">
        <v>95</v>
      </c>
      <c r="F536" s="44"/>
      <c r="G536" s="19"/>
      <c r="H536" s="20"/>
    </row>
    <row r="537" spans="1:8" ht="18.75" x14ac:dyDescent="0.25">
      <c r="A537" s="14">
        <f t="shared" si="8"/>
        <v>536</v>
      </c>
      <c r="B537" s="15"/>
      <c r="C537" s="16" t="s">
        <v>367</v>
      </c>
      <c r="D537" s="16"/>
      <c r="E537" s="17" t="s">
        <v>95</v>
      </c>
      <c r="F537" s="44"/>
      <c r="G537" s="19"/>
      <c r="H537" s="20"/>
    </row>
    <row r="538" spans="1:8" ht="18.75" x14ac:dyDescent="0.25">
      <c r="A538" s="14">
        <f t="shared" si="8"/>
        <v>537</v>
      </c>
      <c r="B538" s="15" t="s">
        <v>369</v>
      </c>
      <c r="C538" s="16"/>
      <c r="D538" s="16"/>
      <c r="E538" s="17"/>
      <c r="F538" s="44"/>
      <c r="G538" s="19"/>
      <c r="H538" s="20"/>
    </row>
    <row r="539" spans="1:8" ht="18.75" x14ac:dyDescent="0.25">
      <c r="A539" s="14">
        <f t="shared" si="8"/>
        <v>538</v>
      </c>
      <c r="B539" s="15"/>
      <c r="C539" s="16" t="s">
        <v>434</v>
      </c>
      <c r="D539" s="16"/>
      <c r="E539" s="17" t="s">
        <v>94</v>
      </c>
      <c r="F539" s="44"/>
      <c r="G539" s="19"/>
      <c r="H539" s="20"/>
    </row>
    <row r="540" spans="1:8" ht="18.75" x14ac:dyDescent="0.25">
      <c r="A540" s="14">
        <f t="shared" si="8"/>
        <v>539</v>
      </c>
      <c r="B540" s="15"/>
      <c r="C540" s="16" t="s">
        <v>358</v>
      </c>
      <c r="D540" s="16"/>
      <c r="E540" s="17" t="s">
        <v>91</v>
      </c>
      <c r="F540" s="44"/>
      <c r="G540" s="19"/>
      <c r="H540" s="20"/>
    </row>
    <row r="541" spans="1:8" ht="56.25" x14ac:dyDescent="0.25">
      <c r="A541" s="14">
        <f t="shared" si="8"/>
        <v>540</v>
      </c>
      <c r="B541" s="15"/>
      <c r="C541" s="16"/>
      <c r="D541" s="16" t="s">
        <v>392</v>
      </c>
      <c r="E541" s="17"/>
      <c r="F541" s="44"/>
      <c r="G541" s="19"/>
      <c r="H541" s="20"/>
    </row>
    <row r="542" spans="1:8" ht="18.75" x14ac:dyDescent="0.25">
      <c r="A542" s="14">
        <f t="shared" si="8"/>
        <v>541</v>
      </c>
      <c r="B542" s="15"/>
      <c r="C542" s="16" t="s">
        <v>269</v>
      </c>
      <c r="D542" s="16"/>
      <c r="E542" s="17" t="s">
        <v>101</v>
      </c>
      <c r="F542" s="44"/>
      <c r="G542" s="19"/>
      <c r="H542" s="20"/>
    </row>
    <row r="543" spans="1:8" ht="18.75" x14ac:dyDescent="0.25">
      <c r="A543" s="14">
        <f t="shared" si="8"/>
        <v>542</v>
      </c>
      <c r="B543" s="15"/>
      <c r="C543" s="16" t="s">
        <v>245</v>
      </c>
      <c r="D543" s="16"/>
      <c r="E543" s="17" t="s">
        <v>95</v>
      </c>
      <c r="F543" s="44"/>
      <c r="G543" s="19"/>
      <c r="H543" s="20"/>
    </row>
    <row r="544" spans="1:8" ht="18.75" x14ac:dyDescent="0.25">
      <c r="A544" s="14">
        <f t="shared" si="8"/>
        <v>543</v>
      </c>
      <c r="B544" s="15"/>
      <c r="C544" s="16"/>
      <c r="D544" s="16" t="s">
        <v>339</v>
      </c>
      <c r="E544" s="17" t="s">
        <v>90</v>
      </c>
      <c r="F544" s="44"/>
      <c r="G544" s="19"/>
      <c r="H544" s="20"/>
    </row>
    <row r="545" spans="1:8" ht="18.75" x14ac:dyDescent="0.25">
      <c r="A545" s="14">
        <f t="shared" si="8"/>
        <v>544</v>
      </c>
      <c r="B545" s="15"/>
      <c r="C545" s="16"/>
      <c r="D545" s="16" t="s">
        <v>340</v>
      </c>
      <c r="E545" s="17" t="s">
        <v>90</v>
      </c>
      <c r="F545" s="44"/>
      <c r="G545" s="19"/>
      <c r="H545" s="20"/>
    </row>
    <row r="546" spans="1:8" ht="18.75" x14ac:dyDescent="0.25">
      <c r="A546" s="14">
        <f t="shared" si="8"/>
        <v>545</v>
      </c>
      <c r="B546" s="15" t="s">
        <v>370</v>
      </c>
      <c r="C546" s="16"/>
      <c r="D546" s="16"/>
      <c r="E546" s="17"/>
      <c r="F546" s="44"/>
      <c r="G546" s="19"/>
      <c r="H546" s="20"/>
    </row>
    <row r="547" spans="1:8" ht="18.75" x14ac:dyDescent="0.25">
      <c r="A547" s="14">
        <f t="shared" si="8"/>
        <v>546</v>
      </c>
      <c r="B547" s="15"/>
      <c r="C547" s="16" t="s">
        <v>434</v>
      </c>
      <c r="D547" s="16"/>
      <c r="E547" s="17" t="s">
        <v>94</v>
      </c>
      <c r="F547" s="44"/>
      <c r="G547" s="19"/>
      <c r="H547" s="20"/>
    </row>
    <row r="548" spans="1:8" ht="18.75" x14ac:dyDescent="0.25">
      <c r="A548" s="14">
        <f t="shared" si="8"/>
        <v>547</v>
      </c>
      <c r="B548" s="15"/>
      <c r="C548" s="16" t="s">
        <v>358</v>
      </c>
      <c r="D548" s="16"/>
      <c r="E548" s="17" t="s">
        <v>91</v>
      </c>
      <c r="F548" s="44"/>
      <c r="G548" s="19"/>
      <c r="H548" s="20"/>
    </row>
    <row r="549" spans="1:8" ht="56.25" x14ac:dyDescent="0.25">
      <c r="A549" s="14">
        <f t="shared" si="8"/>
        <v>548</v>
      </c>
      <c r="B549" s="15"/>
      <c r="C549" s="16"/>
      <c r="D549" s="16" t="s">
        <v>392</v>
      </c>
      <c r="E549" s="17"/>
      <c r="F549" s="44"/>
      <c r="G549" s="19"/>
      <c r="H549" s="20"/>
    </row>
    <row r="550" spans="1:8" ht="18.75" x14ac:dyDescent="0.25">
      <c r="A550" s="14">
        <f t="shared" si="8"/>
        <v>549</v>
      </c>
      <c r="B550" s="15"/>
      <c r="C550" s="16" t="s">
        <v>269</v>
      </c>
      <c r="D550" s="16"/>
      <c r="E550" s="17" t="s">
        <v>101</v>
      </c>
      <c r="F550" s="44"/>
      <c r="G550" s="19"/>
      <c r="H550" s="20"/>
    </row>
    <row r="551" spans="1:8" ht="18.75" x14ac:dyDescent="0.25">
      <c r="A551" s="14">
        <f t="shared" si="8"/>
        <v>550</v>
      </c>
      <c r="B551" s="15"/>
      <c r="C551" s="16" t="s">
        <v>371</v>
      </c>
      <c r="D551" s="16"/>
      <c r="E551" s="17" t="s">
        <v>90</v>
      </c>
      <c r="F551" s="44"/>
      <c r="G551" s="19"/>
      <c r="H551" s="20"/>
    </row>
    <row r="552" spans="1:8" ht="56.25" x14ac:dyDescent="0.25">
      <c r="A552" s="14">
        <f t="shared" si="8"/>
        <v>551</v>
      </c>
      <c r="B552" s="15"/>
      <c r="C552" s="16"/>
      <c r="D552" s="16" t="s">
        <v>392</v>
      </c>
      <c r="E552" s="17"/>
      <c r="F552" s="44"/>
      <c r="G552" s="19"/>
      <c r="H552" s="20"/>
    </row>
    <row r="553" spans="1:8" ht="18.75" x14ac:dyDescent="0.25">
      <c r="A553" s="14">
        <f t="shared" si="8"/>
        <v>552</v>
      </c>
      <c r="B553" s="15"/>
      <c r="C553" s="16" t="s">
        <v>245</v>
      </c>
      <c r="D553" s="16"/>
      <c r="E553" s="17" t="s">
        <v>95</v>
      </c>
      <c r="F553" s="44"/>
      <c r="G553" s="19"/>
      <c r="H553" s="20"/>
    </row>
    <row r="554" spans="1:8" ht="18.75" x14ac:dyDescent="0.25">
      <c r="A554" s="14">
        <f t="shared" si="8"/>
        <v>553</v>
      </c>
      <c r="B554" s="15"/>
      <c r="C554" s="16"/>
      <c r="D554" s="16" t="s">
        <v>339</v>
      </c>
      <c r="E554" s="17" t="s">
        <v>90</v>
      </c>
      <c r="F554" s="44"/>
      <c r="G554" s="19"/>
      <c r="H554" s="20"/>
    </row>
    <row r="555" spans="1:8" ht="18.75" x14ac:dyDescent="0.25">
      <c r="A555" s="14">
        <f t="shared" si="8"/>
        <v>554</v>
      </c>
      <c r="B555" s="15"/>
      <c r="C555" s="16"/>
      <c r="D555" s="16" t="s">
        <v>340</v>
      </c>
      <c r="E555" s="17" t="s">
        <v>90</v>
      </c>
      <c r="F555" s="44"/>
      <c r="G555" s="19"/>
      <c r="H555" s="20"/>
    </row>
    <row r="556" spans="1:8" ht="18.75" x14ac:dyDescent="0.25">
      <c r="A556" s="14">
        <f t="shared" si="8"/>
        <v>555</v>
      </c>
      <c r="B556" s="15" t="s">
        <v>372</v>
      </c>
      <c r="C556" s="16"/>
      <c r="D556" s="16"/>
      <c r="E556" s="17"/>
      <c r="F556" s="44"/>
      <c r="G556" s="19"/>
      <c r="H556" s="20"/>
    </row>
    <row r="557" spans="1:8" ht="18.75" x14ac:dyDescent="0.25">
      <c r="A557" s="14">
        <f t="shared" si="8"/>
        <v>556</v>
      </c>
      <c r="B557" s="15"/>
      <c r="C557" s="16" t="s">
        <v>373</v>
      </c>
      <c r="D557" s="16"/>
      <c r="E557" s="17" t="s">
        <v>90</v>
      </c>
      <c r="F557" s="44"/>
      <c r="G557" s="19"/>
      <c r="H557" s="20"/>
    </row>
    <row r="558" spans="1:8" ht="18.75" x14ac:dyDescent="0.25">
      <c r="A558" s="14">
        <f t="shared" si="8"/>
        <v>557</v>
      </c>
      <c r="B558" s="15"/>
      <c r="C558" s="16"/>
      <c r="D558" s="16" t="s">
        <v>374</v>
      </c>
      <c r="E558" s="17" t="s">
        <v>89</v>
      </c>
      <c r="F558" s="44"/>
      <c r="G558" s="19"/>
      <c r="H558" s="20"/>
    </row>
    <row r="559" spans="1:8" ht="18.75" x14ac:dyDescent="0.25">
      <c r="A559" s="14">
        <f t="shared" si="8"/>
        <v>558</v>
      </c>
      <c r="B559" s="15"/>
      <c r="C559" s="16"/>
      <c r="D559" s="16" t="s">
        <v>148</v>
      </c>
      <c r="E559" s="17" t="s">
        <v>89</v>
      </c>
      <c r="F559" s="44"/>
      <c r="G559" s="19"/>
      <c r="H559" s="20"/>
    </row>
    <row r="560" spans="1:8" ht="18.75" x14ac:dyDescent="0.25">
      <c r="A560" s="14">
        <f t="shared" si="8"/>
        <v>559</v>
      </c>
      <c r="B560" s="15"/>
      <c r="C560" s="16"/>
      <c r="D560" s="16" t="s">
        <v>156</v>
      </c>
      <c r="E560" s="17" t="s">
        <v>95</v>
      </c>
      <c r="F560" s="44"/>
      <c r="G560" s="19"/>
      <c r="H560" s="20"/>
    </row>
    <row r="561" spans="1:8" ht="18.75" x14ac:dyDescent="0.25">
      <c r="A561" s="14">
        <f t="shared" si="8"/>
        <v>560</v>
      </c>
      <c r="B561" s="15"/>
      <c r="C561" s="16"/>
      <c r="D561" s="16" t="s">
        <v>155</v>
      </c>
      <c r="E561" s="17" t="s">
        <v>95</v>
      </c>
      <c r="F561" s="44"/>
      <c r="G561" s="19"/>
      <c r="H561" s="20"/>
    </row>
    <row r="562" spans="1:8" ht="18.75" x14ac:dyDescent="0.25">
      <c r="A562" s="14">
        <f t="shared" si="8"/>
        <v>561</v>
      </c>
      <c r="B562" s="15"/>
      <c r="C562" s="16" t="s">
        <v>376</v>
      </c>
      <c r="D562" s="16"/>
      <c r="E562" s="17" t="s">
        <v>94</v>
      </c>
      <c r="F562" s="44"/>
      <c r="G562" s="19"/>
      <c r="H562" s="20"/>
    </row>
    <row r="563" spans="1:8" ht="18.75" x14ac:dyDescent="0.25">
      <c r="A563" s="14">
        <f t="shared" si="8"/>
        <v>562</v>
      </c>
      <c r="B563" s="15"/>
      <c r="C563" s="16" t="s">
        <v>377</v>
      </c>
      <c r="D563" s="16"/>
      <c r="E563" s="17" t="s">
        <v>91</v>
      </c>
      <c r="F563" s="44"/>
      <c r="G563" s="19"/>
      <c r="H563" s="20"/>
    </row>
    <row r="564" spans="1:8" ht="18.75" x14ac:dyDescent="0.25">
      <c r="A564" s="14">
        <f t="shared" si="8"/>
        <v>563</v>
      </c>
      <c r="B564" s="15"/>
      <c r="C564" s="16"/>
      <c r="D564" s="16" t="s">
        <v>381</v>
      </c>
      <c r="E564" s="17" t="s">
        <v>90</v>
      </c>
      <c r="F564" s="44"/>
      <c r="G564" s="19"/>
      <c r="H564" s="20"/>
    </row>
    <row r="565" spans="1:8" ht="18.75" x14ac:dyDescent="0.25">
      <c r="A565" s="14">
        <f t="shared" si="8"/>
        <v>564</v>
      </c>
      <c r="B565" s="15"/>
      <c r="C565" s="16"/>
      <c r="D565" s="16" t="s">
        <v>382</v>
      </c>
      <c r="E565" s="17" t="s">
        <v>95</v>
      </c>
      <c r="F565" s="44"/>
      <c r="G565" s="19"/>
      <c r="H565" s="20"/>
    </row>
    <row r="566" spans="1:8" ht="18.75" x14ac:dyDescent="0.25">
      <c r="A566" s="14">
        <f t="shared" si="8"/>
        <v>565</v>
      </c>
      <c r="B566" s="15"/>
      <c r="C566" s="16" t="s">
        <v>378</v>
      </c>
      <c r="D566" s="16"/>
      <c r="E566" s="17" t="s">
        <v>101</v>
      </c>
      <c r="F566" s="44"/>
      <c r="G566" s="19"/>
      <c r="H566" s="20"/>
    </row>
    <row r="567" spans="1:8" ht="18.75" x14ac:dyDescent="0.25">
      <c r="A567" s="14">
        <f t="shared" si="8"/>
        <v>566</v>
      </c>
      <c r="B567" s="15"/>
      <c r="C567" s="16" t="s">
        <v>379</v>
      </c>
      <c r="D567" s="16"/>
      <c r="E567" s="17" t="s">
        <v>95</v>
      </c>
      <c r="F567" s="44"/>
      <c r="G567" s="19"/>
      <c r="H567" s="20"/>
    </row>
    <row r="568" spans="1:8" ht="18.75" x14ac:dyDescent="0.25">
      <c r="A568" s="14">
        <f t="shared" si="8"/>
        <v>567</v>
      </c>
      <c r="B568" s="15"/>
      <c r="C568" s="16" t="s">
        <v>380</v>
      </c>
      <c r="D568" s="16"/>
      <c r="E568" s="17" t="s">
        <v>95</v>
      </c>
      <c r="F568" s="44"/>
      <c r="G568" s="19"/>
      <c r="H568" s="20"/>
    </row>
    <row r="569" spans="1:8" ht="18.75" x14ac:dyDescent="0.25">
      <c r="A569" s="14">
        <f t="shared" si="8"/>
        <v>568</v>
      </c>
      <c r="B569" s="15"/>
      <c r="C569" s="16"/>
      <c r="D569" s="16" t="s">
        <v>339</v>
      </c>
      <c r="E569" s="17" t="s">
        <v>90</v>
      </c>
      <c r="F569" s="44"/>
      <c r="G569" s="19"/>
      <c r="H569" s="20"/>
    </row>
    <row r="570" spans="1:8" ht="18.75" x14ac:dyDescent="0.25">
      <c r="A570" s="14">
        <f t="shared" si="8"/>
        <v>569</v>
      </c>
      <c r="B570" s="15"/>
      <c r="C570" s="16"/>
      <c r="D570" s="16" t="s">
        <v>340</v>
      </c>
      <c r="E570" s="17" t="s">
        <v>90</v>
      </c>
      <c r="F570" s="44"/>
      <c r="G570" s="19"/>
      <c r="H570" s="20"/>
    </row>
    <row r="571" spans="1:8" ht="18.75" x14ac:dyDescent="0.25">
      <c r="A571" s="14">
        <f t="shared" si="8"/>
        <v>570</v>
      </c>
      <c r="B571" s="15" t="s">
        <v>375</v>
      </c>
      <c r="C571" s="16"/>
      <c r="D571" s="16"/>
      <c r="E571" s="17"/>
      <c r="F571" s="44"/>
      <c r="G571" s="19"/>
      <c r="H571" s="20"/>
    </row>
    <row r="572" spans="1:8" ht="18.75" x14ac:dyDescent="0.25">
      <c r="A572" s="14">
        <f t="shared" si="8"/>
        <v>571</v>
      </c>
      <c r="B572" s="15"/>
      <c r="C572" s="16" t="s">
        <v>151</v>
      </c>
      <c r="D572" s="16"/>
      <c r="E572" s="17" t="s">
        <v>90</v>
      </c>
      <c r="F572" s="44"/>
      <c r="G572" s="19"/>
      <c r="H572" s="20"/>
    </row>
    <row r="573" spans="1:8" ht="18.75" x14ac:dyDescent="0.25">
      <c r="A573" s="14">
        <f t="shared" si="8"/>
        <v>572</v>
      </c>
      <c r="B573" s="15"/>
      <c r="C573" s="16" t="s">
        <v>101</v>
      </c>
      <c r="D573" s="16"/>
      <c r="E573" s="17" t="s">
        <v>150</v>
      </c>
      <c r="F573" s="44"/>
      <c r="G573" s="19"/>
      <c r="H573" s="20"/>
    </row>
    <row r="574" spans="1:8" ht="18.75" x14ac:dyDescent="0.25">
      <c r="A574" s="14">
        <f t="shared" si="8"/>
        <v>573</v>
      </c>
      <c r="B574" s="15"/>
      <c r="C574" s="16" t="s">
        <v>53</v>
      </c>
      <c r="D574" s="16"/>
      <c r="E574" s="17" t="s">
        <v>150</v>
      </c>
      <c r="F574" s="44"/>
      <c r="G574" s="19"/>
      <c r="H574" s="20"/>
    </row>
    <row r="575" spans="1:8" ht="18.75" x14ac:dyDescent="0.25">
      <c r="A575" s="14">
        <f t="shared" si="8"/>
        <v>574</v>
      </c>
      <c r="B575" s="15"/>
      <c r="C575" s="16" t="s">
        <v>129</v>
      </c>
      <c r="D575" s="16"/>
      <c r="E575" s="17" t="s">
        <v>150</v>
      </c>
      <c r="F575" s="44"/>
      <c r="G575" s="19"/>
      <c r="H575" s="20"/>
    </row>
    <row r="576" spans="1:8" ht="18.75" x14ac:dyDescent="0.25">
      <c r="A576" s="14">
        <f t="shared" si="8"/>
        <v>575</v>
      </c>
      <c r="B576" s="15"/>
      <c r="C576" s="16" t="s">
        <v>143</v>
      </c>
      <c r="D576" s="16"/>
      <c r="E576" s="17" t="s">
        <v>150</v>
      </c>
      <c r="F576" s="44"/>
      <c r="G576" s="19"/>
      <c r="H576" s="20"/>
    </row>
    <row r="577" spans="1:8" ht="18.75" x14ac:dyDescent="0.25">
      <c r="A577" s="14">
        <f t="shared" si="8"/>
        <v>576</v>
      </c>
      <c r="B577" s="15"/>
      <c r="C577" s="16" t="s">
        <v>144</v>
      </c>
      <c r="D577" s="16"/>
      <c r="E577" s="17" t="s">
        <v>150</v>
      </c>
      <c r="F577" s="44"/>
      <c r="G577" s="19"/>
      <c r="H577" s="20"/>
    </row>
    <row r="578" spans="1:8" ht="18.75" x14ac:dyDescent="0.25">
      <c r="A578" s="14">
        <f t="shared" si="8"/>
        <v>577</v>
      </c>
      <c r="B578" s="15"/>
      <c r="C578" s="16" t="s">
        <v>145</v>
      </c>
      <c r="D578" s="16"/>
      <c r="E578" s="17" t="s">
        <v>150</v>
      </c>
      <c r="F578" s="44"/>
      <c r="G578" s="19"/>
      <c r="H578" s="20"/>
    </row>
    <row r="579" spans="1:8" ht="18.75" x14ac:dyDescent="0.25">
      <c r="A579" s="14">
        <f t="shared" si="8"/>
        <v>578</v>
      </c>
      <c r="B579" s="15"/>
      <c r="C579" s="16" t="s">
        <v>120</v>
      </c>
      <c r="D579" s="16"/>
      <c r="E579" s="17" t="s">
        <v>150</v>
      </c>
      <c r="F579" s="44"/>
      <c r="G579" s="19"/>
      <c r="H579" s="20"/>
    </row>
    <row r="580" spans="1:8" ht="18.75" x14ac:dyDescent="0.25">
      <c r="A580" s="14">
        <f t="shared" ref="A580:A643" si="9">+A579+1</f>
        <v>579</v>
      </c>
      <c r="B580" s="15"/>
      <c r="C580" s="16" t="s">
        <v>146</v>
      </c>
      <c r="D580" s="16"/>
      <c r="E580" s="17" t="s">
        <v>150</v>
      </c>
      <c r="F580" s="44"/>
      <c r="G580" s="19"/>
      <c r="H580" s="20"/>
    </row>
    <row r="581" spans="1:8" ht="18.75" x14ac:dyDescent="0.25">
      <c r="A581" s="14">
        <f t="shared" si="9"/>
        <v>580</v>
      </c>
      <c r="B581" s="15"/>
      <c r="C581" s="16" t="s">
        <v>147</v>
      </c>
      <c r="D581" s="16"/>
      <c r="E581" s="17" t="s">
        <v>150</v>
      </c>
      <c r="F581" s="44"/>
      <c r="G581" s="19"/>
      <c r="H581" s="20"/>
    </row>
    <row r="582" spans="1:8" ht="18.75" x14ac:dyDescent="0.25">
      <c r="A582" s="14">
        <f t="shared" si="9"/>
        <v>581</v>
      </c>
      <c r="B582" s="15"/>
      <c r="C582" s="16" t="s">
        <v>148</v>
      </c>
      <c r="D582" s="16"/>
      <c r="E582" s="17" t="s">
        <v>150</v>
      </c>
      <c r="F582" s="44"/>
      <c r="G582" s="19"/>
      <c r="H582" s="20"/>
    </row>
    <row r="583" spans="1:8" ht="18.75" x14ac:dyDescent="0.25">
      <c r="A583" s="14">
        <f t="shared" si="9"/>
        <v>582</v>
      </c>
      <c r="B583" s="15"/>
      <c r="C583" s="16" t="s">
        <v>149</v>
      </c>
      <c r="D583" s="16"/>
      <c r="E583" s="17" t="s">
        <v>150</v>
      </c>
      <c r="F583" s="44"/>
      <c r="G583" s="19"/>
      <c r="H583" s="20"/>
    </row>
    <row r="584" spans="1:8" ht="18.75" x14ac:dyDescent="0.25">
      <c r="A584" s="14">
        <f t="shared" si="9"/>
        <v>583</v>
      </c>
      <c r="B584" s="15"/>
      <c r="C584" s="16" t="s">
        <v>116</v>
      </c>
      <c r="D584" s="16"/>
      <c r="E584" s="17" t="s">
        <v>150</v>
      </c>
      <c r="F584" s="44"/>
      <c r="G584" s="19"/>
      <c r="H584" s="20"/>
    </row>
    <row r="585" spans="1:8" ht="18.75" x14ac:dyDescent="0.25">
      <c r="A585" s="14">
        <f t="shared" si="9"/>
        <v>584</v>
      </c>
      <c r="B585" s="15"/>
      <c r="C585" s="16" t="s">
        <v>152</v>
      </c>
      <c r="D585" s="16"/>
      <c r="E585" s="17" t="s">
        <v>95</v>
      </c>
      <c r="F585" s="44"/>
      <c r="G585" s="19"/>
      <c r="H585" s="20"/>
    </row>
    <row r="586" spans="1:8" ht="18.75" x14ac:dyDescent="0.25">
      <c r="A586" s="14">
        <f t="shared" si="9"/>
        <v>585</v>
      </c>
      <c r="B586" s="15"/>
      <c r="C586" s="16" t="s">
        <v>153</v>
      </c>
      <c r="D586" s="16"/>
      <c r="E586" s="17" t="s">
        <v>95</v>
      </c>
      <c r="F586" s="44"/>
      <c r="G586" s="19"/>
      <c r="H586" s="20"/>
    </row>
    <row r="587" spans="1:8" ht="18.75" x14ac:dyDescent="0.25">
      <c r="A587" s="14">
        <f t="shared" si="9"/>
        <v>586</v>
      </c>
      <c r="B587" s="15"/>
      <c r="C587" s="16" t="s">
        <v>154</v>
      </c>
      <c r="D587" s="16"/>
      <c r="E587" s="17" t="s">
        <v>95</v>
      </c>
      <c r="F587" s="44"/>
      <c r="G587" s="19"/>
      <c r="H587" s="20"/>
    </row>
    <row r="588" spans="1:8" ht="18.75" x14ac:dyDescent="0.25">
      <c r="A588" s="14">
        <f t="shared" si="9"/>
        <v>587</v>
      </c>
      <c r="B588" s="15"/>
      <c r="C588" s="16"/>
      <c r="D588" s="16" t="s">
        <v>339</v>
      </c>
      <c r="E588" s="17" t="s">
        <v>90</v>
      </c>
      <c r="F588" s="44"/>
      <c r="G588" s="19"/>
      <c r="H588" s="20"/>
    </row>
    <row r="589" spans="1:8" ht="18.75" x14ac:dyDescent="0.25">
      <c r="A589" s="14">
        <f t="shared" si="9"/>
        <v>588</v>
      </c>
      <c r="B589" s="15"/>
      <c r="C589" s="16"/>
      <c r="D589" s="16" t="s">
        <v>340</v>
      </c>
      <c r="E589" s="17" t="s">
        <v>90</v>
      </c>
      <c r="F589" s="44"/>
      <c r="G589" s="19"/>
      <c r="H589" s="20"/>
    </row>
    <row r="590" spans="1:8" ht="18.75" x14ac:dyDescent="0.25">
      <c r="A590" s="14">
        <f t="shared" si="9"/>
        <v>589</v>
      </c>
      <c r="B590" s="15"/>
      <c r="C590" s="16" t="s">
        <v>155</v>
      </c>
      <c r="D590" s="16"/>
      <c r="E590" s="17" t="s">
        <v>95</v>
      </c>
      <c r="F590" s="44"/>
      <c r="G590" s="19"/>
      <c r="H590" s="20"/>
    </row>
    <row r="591" spans="1:8" ht="18.75" x14ac:dyDescent="0.25">
      <c r="A591" s="14">
        <f t="shared" si="9"/>
        <v>590</v>
      </c>
      <c r="B591" s="15"/>
      <c r="C591" s="16" t="s">
        <v>156</v>
      </c>
      <c r="D591" s="16"/>
      <c r="E591" s="17" t="s">
        <v>95</v>
      </c>
      <c r="F591" s="44"/>
      <c r="G591" s="19"/>
      <c r="H591" s="20"/>
    </row>
    <row r="592" spans="1:8" ht="18.75" x14ac:dyDescent="0.25">
      <c r="A592" s="14">
        <f t="shared" si="9"/>
        <v>591</v>
      </c>
      <c r="B592" s="15" t="s">
        <v>383</v>
      </c>
      <c r="C592" s="16"/>
      <c r="D592" s="16"/>
      <c r="E592" s="17"/>
      <c r="F592" s="44"/>
      <c r="G592" s="19"/>
      <c r="H592" s="20"/>
    </row>
    <row r="593" spans="1:8" ht="37.5" x14ac:dyDescent="0.25">
      <c r="A593" s="14">
        <f t="shared" si="9"/>
        <v>592</v>
      </c>
      <c r="B593" s="15"/>
      <c r="C593" s="16" t="s">
        <v>384</v>
      </c>
      <c r="D593" s="16"/>
      <c r="E593" s="17"/>
      <c r="F593" s="44"/>
      <c r="G593" s="19"/>
      <c r="H593" s="20"/>
    </row>
    <row r="594" spans="1:8" ht="18.75" x14ac:dyDescent="0.25">
      <c r="A594" s="14">
        <f t="shared" si="9"/>
        <v>593</v>
      </c>
      <c r="B594" s="15" t="s">
        <v>37</v>
      </c>
      <c r="C594" s="16"/>
      <c r="D594" s="16"/>
      <c r="E594" s="17" t="s">
        <v>150</v>
      </c>
      <c r="F594" s="44"/>
      <c r="G594" s="19"/>
      <c r="H594" s="20"/>
    </row>
    <row r="595" spans="1:8" ht="18.75" x14ac:dyDescent="0.25">
      <c r="A595" s="14">
        <f t="shared" si="9"/>
        <v>594</v>
      </c>
      <c r="B595" s="15"/>
      <c r="C595" s="16" t="s">
        <v>468</v>
      </c>
      <c r="D595" s="16"/>
      <c r="E595" s="17" t="s">
        <v>91</v>
      </c>
      <c r="F595" s="44"/>
      <c r="G595" s="19"/>
      <c r="H595" s="20"/>
    </row>
    <row r="596" spans="1:8" ht="18.75" x14ac:dyDescent="0.25">
      <c r="A596" s="14">
        <f t="shared" si="9"/>
        <v>595</v>
      </c>
      <c r="B596" s="15"/>
      <c r="C596" s="16" t="s">
        <v>434</v>
      </c>
      <c r="D596" s="16"/>
      <c r="E596" s="17" t="s">
        <v>94</v>
      </c>
      <c r="F596" s="44"/>
      <c r="G596" s="19"/>
      <c r="H596" s="20"/>
    </row>
    <row r="597" spans="1:8" ht="18.75" x14ac:dyDescent="0.25">
      <c r="A597" s="14">
        <f t="shared" si="9"/>
        <v>596</v>
      </c>
      <c r="B597" s="15"/>
      <c r="C597" s="16" t="s">
        <v>13</v>
      </c>
      <c r="D597" s="16"/>
      <c r="E597" s="17" t="s">
        <v>95</v>
      </c>
      <c r="F597" s="44"/>
      <c r="G597" s="19"/>
      <c r="H597" s="20"/>
    </row>
    <row r="598" spans="1:8" ht="18.75" x14ac:dyDescent="0.25">
      <c r="A598" s="14">
        <f t="shared" si="9"/>
        <v>597</v>
      </c>
      <c r="B598" s="15"/>
      <c r="C598" s="16" t="s">
        <v>469</v>
      </c>
      <c r="D598" s="16"/>
      <c r="E598" s="17" t="s">
        <v>95</v>
      </c>
      <c r="F598" s="44"/>
      <c r="G598" s="19"/>
      <c r="H598" s="20"/>
    </row>
    <row r="599" spans="1:8" ht="18.75" x14ac:dyDescent="0.25">
      <c r="A599" s="14">
        <f t="shared" si="9"/>
        <v>598</v>
      </c>
      <c r="B599" s="15"/>
      <c r="C599" s="16" t="s">
        <v>470</v>
      </c>
      <c r="D599" s="16"/>
      <c r="E599" s="17" t="s">
        <v>95</v>
      </c>
      <c r="F599" s="44"/>
      <c r="G599" s="19"/>
      <c r="H599" s="20"/>
    </row>
    <row r="600" spans="1:8" ht="18.75" x14ac:dyDescent="0.25">
      <c r="A600" s="14">
        <f t="shared" si="9"/>
        <v>599</v>
      </c>
      <c r="B600" s="15"/>
      <c r="C600" s="16" t="s">
        <v>36</v>
      </c>
      <c r="D600" s="16"/>
      <c r="E600" s="17" t="s">
        <v>95</v>
      </c>
      <c r="F600" s="44"/>
      <c r="G600" s="19"/>
      <c r="H600" s="20"/>
    </row>
    <row r="601" spans="1:8" ht="18.75" x14ac:dyDescent="0.25">
      <c r="A601" s="14">
        <f t="shared" si="9"/>
        <v>600</v>
      </c>
      <c r="B601" s="15" t="s">
        <v>471</v>
      </c>
      <c r="C601" s="16"/>
      <c r="D601" s="16"/>
      <c r="E601" s="17" t="s">
        <v>95</v>
      </c>
      <c r="F601" s="44"/>
      <c r="G601" s="19"/>
      <c r="H601" s="20"/>
    </row>
    <row r="602" spans="1:8" ht="18.75" x14ac:dyDescent="0.25">
      <c r="A602" s="14">
        <f t="shared" si="9"/>
        <v>601</v>
      </c>
      <c r="B602" s="15"/>
      <c r="C602" s="15" t="s">
        <v>393</v>
      </c>
      <c r="D602" s="16"/>
      <c r="E602" s="17" t="s">
        <v>334</v>
      </c>
      <c r="F602" s="44"/>
      <c r="G602" s="19"/>
      <c r="H602" s="20"/>
    </row>
    <row r="603" spans="1:8" ht="18.75" x14ac:dyDescent="0.25">
      <c r="A603" s="14">
        <f t="shared" si="9"/>
        <v>602</v>
      </c>
      <c r="B603" s="15"/>
      <c r="C603" s="15"/>
      <c r="D603" s="16" t="s">
        <v>394</v>
      </c>
      <c r="E603" s="17" t="s">
        <v>90</v>
      </c>
      <c r="F603" s="44"/>
      <c r="G603" s="19"/>
      <c r="H603" s="20"/>
    </row>
    <row r="604" spans="1:8" ht="18.75" x14ac:dyDescent="0.25">
      <c r="A604" s="14">
        <f t="shared" si="9"/>
        <v>603</v>
      </c>
      <c r="B604" s="15"/>
      <c r="C604" s="16"/>
      <c r="D604" s="16" t="s">
        <v>395</v>
      </c>
      <c r="E604" s="17" t="s">
        <v>90</v>
      </c>
      <c r="F604" s="44"/>
      <c r="G604" s="19"/>
      <c r="H604" s="20"/>
    </row>
    <row r="605" spans="1:8" ht="18.75" x14ac:dyDescent="0.25">
      <c r="A605" s="14">
        <f t="shared" si="9"/>
        <v>604</v>
      </c>
      <c r="B605" s="15"/>
      <c r="C605" s="16" t="s">
        <v>396</v>
      </c>
      <c r="D605" s="16"/>
      <c r="E605" s="17" t="s">
        <v>89</v>
      </c>
      <c r="F605" s="44"/>
      <c r="G605" s="19"/>
      <c r="H605" s="20"/>
    </row>
    <row r="606" spans="1:8" ht="18.75" x14ac:dyDescent="0.25">
      <c r="A606" s="14">
        <f t="shared" si="9"/>
        <v>605</v>
      </c>
      <c r="B606" s="15"/>
      <c r="C606" s="16" t="s">
        <v>397</v>
      </c>
      <c r="D606" s="16"/>
      <c r="E606" s="17" t="s">
        <v>89</v>
      </c>
      <c r="F606" s="44"/>
      <c r="G606" s="19"/>
      <c r="H606" s="20"/>
    </row>
    <row r="607" spans="1:8" ht="18.75" x14ac:dyDescent="0.25">
      <c r="A607" s="14">
        <f t="shared" si="9"/>
        <v>606</v>
      </c>
      <c r="B607" s="15"/>
      <c r="C607" s="16" t="s">
        <v>398</v>
      </c>
      <c r="D607" s="16"/>
      <c r="E607" s="17" t="s">
        <v>89</v>
      </c>
      <c r="F607" s="44"/>
      <c r="G607" s="19"/>
      <c r="H607" s="20"/>
    </row>
    <row r="608" spans="1:8" ht="18.75" x14ac:dyDescent="0.25">
      <c r="A608" s="14">
        <f t="shared" si="9"/>
        <v>607</v>
      </c>
      <c r="B608" s="15"/>
      <c r="C608" s="16" t="s">
        <v>399</v>
      </c>
      <c r="D608" s="16"/>
      <c r="E608" s="17" t="s">
        <v>89</v>
      </c>
      <c r="F608" s="44"/>
      <c r="G608" s="19"/>
      <c r="H608" s="20"/>
    </row>
    <row r="609" spans="1:8" ht="18.75" x14ac:dyDescent="0.25">
      <c r="A609" s="14">
        <f t="shared" si="9"/>
        <v>608</v>
      </c>
      <c r="B609" s="15"/>
      <c r="C609" s="16" t="s">
        <v>400</v>
      </c>
      <c r="D609" s="16"/>
      <c r="E609" s="17" t="s">
        <v>89</v>
      </c>
      <c r="F609" s="44"/>
      <c r="G609" s="19"/>
      <c r="H609" s="20"/>
    </row>
    <row r="610" spans="1:8" ht="18.75" x14ac:dyDescent="0.25">
      <c r="A610" s="14">
        <f t="shared" si="9"/>
        <v>609</v>
      </c>
      <c r="B610" s="15"/>
      <c r="C610" s="16" t="s">
        <v>401</v>
      </c>
      <c r="D610" s="16"/>
      <c r="E610" s="17" t="s">
        <v>89</v>
      </c>
      <c r="F610" s="44"/>
      <c r="G610" s="19"/>
      <c r="H610" s="20"/>
    </row>
    <row r="611" spans="1:8" ht="37.5" x14ac:dyDescent="0.25">
      <c r="A611" s="14">
        <f t="shared" si="9"/>
        <v>610</v>
      </c>
      <c r="B611" s="15"/>
      <c r="C611" s="16" t="s">
        <v>402</v>
      </c>
      <c r="D611" s="16"/>
      <c r="E611" s="17" t="s">
        <v>89</v>
      </c>
      <c r="F611" s="44"/>
      <c r="G611" s="19"/>
      <c r="H611" s="20"/>
    </row>
    <row r="612" spans="1:8" ht="18.75" x14ac:dyDescent="0.25">
      <c r="A612" s="14">
        <f t="shared" si="9"/>
        <v>611</v>
      </c>
      <c r="B612" s="15"/>
      <c r="C612" s="16" t="s">
        <v>403</v>
      </c>
      <c r="D612" s="16"/>
      <c r="E612" s="17" t="s">
        <v>89</v>
      </c>
      <c r="F612" s="44"/>
      <c r="G612" s="19"/>
      <c r="H612" s="20"/>
    </row>
    <row r="613" spans="1:8" ht="37.5" x14ac:dyDescent="0.25">
      <c r="A613" s="14">
        <f t="shared" si="9"/>
        <v>612</v>
      </c>
      <c r="B613" s="15"/>
      <c r="C613" s="16" t="s">
        <v>404</v>
      </c>
      <c r="D613" s="16"/>
      <c r="E613" s="17" t="s">
        <v>89</v>
      </c>
      <c r="F613" s="44"/>
      <c r="G613" s="19"/>
      <c r="H613" s="20"/>
    </row>
    <row r="614" spans="1:8" ht="18.75" x14ac:dyDescent="0.25">
      <c r="A614" s="14">
        <f t="shared" si="9"/>
        <v>613</v>
      </c>
      <c r="B614" s="15"/>
      <c r="C614" s="16" t="s">
        <v>405</v>
      </c>
      <c r="D614" s="16"/>
      <c r="E614" s="17" t="s">
        <v>89</v>
      </c>
      <c r="F614" s="44"/>
      <c r="G614" s="19"/>
      <c r="H614" s="20"/>
    </row>
    <row r="615" spans="1:8" ht="18.75" x14ac:dyDescent="0.25">
      <c r="A615" s="14">
        <f t="shared" si="9"/>
        <v>614</v>
      </c>
      <c r="B615" s="15"/>
      <c r="C615" s="16" t="s">
        <v>406</v>
      </c>
      <c r="D615" s="16"/>
      <c r="E615" s="17" t="s">
        <v>120</v>
      </c>
      <c r="F615" s="44"/>
      <c r="G615" s="19"/>
      <c r="H615" s="20"/>
    </row>
    <row r="616" spans="1:8" ht="18.75" x14ac:dyDescent="0.25">
      <c r="A616" s="14">
        <f t="shared" si="9"/>
        <v>615</v>
      </c>
      <c r="B616" s="15"/>
      <c r="C616" s="16" t="s">
        <v>407</v>
      </c>
      <c r="D616" s="16"/>
      <c r="E616" s="17" t="s">
        <v>89</v>
      </c>
      <c r="F616" s="44"/>
      <c r="G616" s="19"/>
      <c r="H616" s="20"/>
    </row>
    <row r="617" spans="1:8" ht="18.75" x14ac:dyDescent="0.25">
      <c r="A617" s="14">
        <f t="shared" si="9"/>
        <v>616</v>
      </c>
      <c r="B617" s="15"/>
      <c r="C617" s="16" t="s">
        <v>408</v>
      </c>
      <c r="D617" s="16"/>
      <c r="E617" s="17" t="s">
        <v>89</v>
      </c>
      <c r="F617" s="44"/>
      <c r="G617" s="19"/>
      <c r="H617" s="20"/>
    </row>
    <row r="618" spans="1:8" ht="18.75" x14ac:dyDescent="0.25">
      <c r="A618" s="14">
        <f t="shared" si="9"/>
        <v>617</v>
      </c>
      <c r="B618" s="15"/>
      <c r="C618" s="16" t="s">
        <v>409</v>
      </c>
      <c r="D618" s="16"/>
      <c r="E618" s="17" t="s">
        <v>89</v>
      </c>
      <c r="F618" s="44"/>
      <c r="G618" s="19"/>
      <c r="H618" s="20"/>
    </row>
    <row r="619" spans="1:8" ht="18.75" x14ac:dyDescent="0.25">
      <c r="A619" s="14">
        <f t="shared" si="9"/>
        <v>618</v>
      </c>
      <c r="B619" s="15"/>
      <c r="C619" s="16" t="s">
        <v>410</v>
      </c>
      <c r="D619" s="16"/>
      <c r="E619" s="17" t="s">
        <v>89</v>
      </c>
      <c r="F619" s="44"/>
      <c r="G619" s="19"/>
      <c r="H619" s="20"/>
    </row>
    <row r="620" spans="1:8" ht="18.75" x14ac:dyDescent="0.25">
      <c r="A620" s="14">
        <f t="shared" si="9"/>
        <v>619</v>
      </c>
      <c r="B620" s="15"/>
      <c r="C620" s="16" t="s">
        <v>411</v>
      </c>
      <c r="D620" s="16"/>
      <c r="E620" s="17" t="s">
        <v>89</v>
      </c>
      <c r="F620" s="44"/>
      <c r="G620" s="19"/>
      <c r="H620" s="20"/>
    </row>
    <row r="621" spans="1:8" ht="18.75" x14ac:dyDescent="0.25">
      <c r="A621" s="14">
        <f t="shared" si="9"/>
        <v>620</v>
      </c>
      <c r="B621" s="15"/>
      <c r="C621" s="16" t="s">
        <v>412</v>
      </c>
      <c r="D621" s="16"/>
      <c r="E621" s="17" t="s">
        <v>89</v>
      </c>
      <c r="F621" s="44"/>
      <c r="G621" s="19"/>
      <c r="H621" s="20"/>
    </row>
    <row r="622" spans="1:8" ht="18.75" x14ac:dyDescent="0.25">
      <c r="A622" s="14">
        <f t="shared" si="9"/>
        <v>621</v>
      </c>
      <c r="B622" s="15"/>
      <c r="C622" s="16" t="s">
        <v>413</v>
      </c>
      <c r="D622" s="16"/>
      <c r="E622" s="17" t="s">
        <v>120</v>
      </c>
      <c r="F622" s="44"/>
      <c r="G622" s="19"/>
      <c r="H622" s="20"/>
    </row>
    <row r="623" spans="1:8" ht="37.5" x14ac:dyDescent="0.25">
      <c r="A623" s="14">
        <f t="shared" si="9"/>
        <v>622</v>
      </c>
      <c r="B623" s="15"/>
      <c r="C623" s="16" t="s">
        <v>414</v>
      </c>
      <c r="D623" s="16"/>
      <c r="E623" s="17" t="s">
        <v>89</v>
      </c>
      <c r="F623" s="44"/>
      <c r="G623" s="19"/>
      <c r="H623" s="20"/>
    </row>
    <row r="624" spans="1:8" ht="18.75" x14ac:dyDescent="0.25">
      <c r="A624" s="14">
        <f t="shared" si="9"/>
        <v>623</v>
      </c>
      <c r="B624" s="15"/>
      <c r="C624" s="16"/>
      <c r="D624" s="16" t="s">
        <v>415</v>
      </c>
      <c r="E624" s="17" t="s">
        <v>120</v>
      </c>
      <c r="F624" s="44"/>
      <c r="G624" s="19"/>
      <c r="H624" s="20"/>
    </row>
    <row r="625" spans="1:8" ht="18.75" x14ac:dyDescent="0.25">
      <c r="A625" s="14">
        <f t="shared" si="9"/>
        <v>624</v>
      </c>
      <c r="B625" s="15"/>
      <c r="C625" s="16"/>
      <c r="D625" s="16" t="s">
        <v>416</v>
      </c>
      <c r="E625" s="17" t="s">
        <v>120</v>
      </c>
      <c r="F625" s="44"/>
      <c r="G625" s="19"/>
      <c r="H625" s="20"/>
    </row>
    <row r="626" spans="1:8" ht="18.75" x14ac:dyDescent="0.25">
      <c r="A626" s="14">
        <f t="shared" si="9"/>
        <v>625</v>
      </c>
      <c r="B626" s="15"/>
      <c r="C626" s="16" t="s">
        <v>417</v>
      </c>
      <c r="D626" s="16"/>
      <c r="E626" s="17" t="s">
        <v>101</v>
      </c>
      <c r="F626" s="44"/>
      <c r="G626" s="19"/>
      <c r="H626" s="20"/>
    </row>
    <row r="627" spans="1:8" ht="18.75" x14ac:dyDescent="0.25">
      <c r="A627" s="14">
        <f t="shared" si="9"/>
        <v>626</v>
      </c>
      <c r="B627" s="15"/>
      <c r="C627" s="16"/>
      <c r="D627" s="16" t="s">
        <v>418</v>
      </c>
      <c r="E627" s="17" t="s">
        <v>93</v>
      </c>
      <c r="F627" s="44"/>
      <c r="G627" s="19"/>
      <c r="H627" s="20"/>
    </row>
    <row r="628" spans="1:8" ht="18.75" x14ac:dyDescent="0.25">
      <c r="A628" s="14">
        <f t="shared" si="9"/>
        <v>627</v>
      </c>
      <c r="B628" s="15"/>
      <c r="C628" s="16"/>
      <c r="D628" s="16" t="s">
        <v>419</v>
      </c>
      <c r="E628" s="17" t="s">
        <v>93</v>
      </c>
      <c r="F628" s="44"/>
      <c r="G628" s="19"/>
      <c r="H628" s="20"/>
    </row>
    <row r="629" spans="1:8" ht="37.5" x14ac:dyDescent="0.25">
      <c r="A629" s="14">
        <f t="shared" si="9"/>
        <v>628</v>
      </c>
      <c r="B629" s="15"/>
      <c r="C629" s="16"/>
      <c r="D629" s="16" t="s">
        <v>420</v>
      </c>
      <c r="E629" s="17" t="s">
        <v>93</v>
      </c>
      <c r="F629" s="44"/>
      <c r="G629" s="19"/>
      <c r="H629" s="20"/>
    </row>
    <row r="630" spans="1:8" ht="18.75" x14ac:dyDescent="0.25">
      <c r="A630" s="14">
        <f t="shared" si="9"/>
        <v>629</v>
      </c>
      <c r="B630" s="15"/>
      <c r="C630" s="16" t="s">
        <v>421</v>
      </c>
      <c r="D630" s="16"/>
      <c r="E630" s="17" t="s">
        <v>90</v>
      </c>
      <c r="F630" s="44"/>
      <c r="G630" s="19"/>
      <c r="H630" s="20"/>
    </row>
    <row r="631" spans="1:8" ht="18.75" x14ac:dyDescent="0.25">
      <c r="A631" s="14">
        <f t="shared" si="9"/>
        <v>630</v>
      </c>
      <c r="B631" s="15" t="s">
        <v>472</v>
      </c>
      <c r="C631" s="16"/>
      <c r="D631" s="16"/>
      <c r="E631" s="17"/>
      <c r="F631" s="44"/>
      <c r="G631" s="19"/>
      <c r="H631" s="20"/>
    </row>
    <row r="632" spans="1:8" ht="18.75" x14ac:dyDescent="0.3">
      <c r="A632" s="14">
        <f t="shared" si="9"/>
        <v>631</v>
      </c>
      <c r="B632" s="15"/>
      <c r="C632" s="22" t="s">
        <v>30</v>
      </c>
      <c r="D632" s="16"/>
      <c r="E632" s="17" t="s">
        <v>158</v>
      </c>
      <c r="F632" s="44"/>
      <c r="G632" s="19"/>
      <c r="H632" s="20"/>
    </row>
    <row r="633" spans="1:8" ht="18.75" x14ac:dyDescent="0.3">
      <c r="A633" s="14">
        <f t="shared" si="9"/>
        <v>632</v>
      </c>
      <c r="B633" s="15"/>
      <c r="C633" s="22" t="s">
        <v>31</v>
      </c>
      <c r="D633" s="16"/>
      <c r="E633" s="17" t="s">
        <v>158</v>
      </c>
      <c r="F633" s="44"/>
      <c r="G633" s="19"/>
      <c r="H633" s="20"/>
    </row>
    <row r="634" spans="1:8" ht="18.75" x14ac:dyDescent="0.3">
      <c r="A634" s="14">
        <f t="shared" si="9"/>
        <v>633</v>
      </c>
      <c r="B634" s="15"/>
      <c r="C634" s="22" t="s">
        <v>32</v>
      </c>
      <c r="D634" s="16"/>
      <c r="E634" s="17" t="s">
        <v>158</v>
      </c>
      <c r="F634" s="44"/>
      <c r="G634" s="19"/>
      <c r="H634" s="20"/>
    </row>
    <row r="635" spans="1:8" ht="18.75" x14ac:dyDescent="0.3">
      <c r="A635" s="14">
        <f t="shared" si="9"/>
        <v>634</v>
      </c>
      <c r="B635" s="15"/>
      <c r="C635" s="22" t="s">
        <v>33</v>
      </c>
      <c r="D635" s="16"/>
      <c r="E635" s="17" t="s">
        <v>158</v>
      </c>
      <c r="F635" s="44"/>
      <c r="G635" s="19"/>
      <c r="H635" s="20"/>
    </row>
    <row r="636" spans="1:8" ht="18.75" x14ac:dyDescent="0.3">
      <c r="A636" s="14">
        <f t="shared" si="9"/>
        <v>635</v>
      </c>
      <c r="B636" s="15"/>
      <c r="C636" s="22" t="s">
        <v>34</v>
      </c>
      <c r="D636" s="16"/>
      <c r="E636" s="17" t="s">
        <v>158</v>
      </c>
      <c r="F636" s="44"/>
      <c r="G636" s="19"/>
      <c r="H636" s="20"/>
    </row>
    <row r="637" spans="1:8" ht="18.75" x14ac:dyDescent="0.25">
      <c r="A637" s="14">
        <f t="shared" si="9"/>
        <v>636</v>
      </c>
      <c r="B637" s="15" t="s">
        <v>473</v>
      </c>
      <c r="C637" s="16"/>
      <c r="D637" s="16"/>
      <c r="E637" s="17"/>
      <c r="F637" s="44"/>
      <c r="G637" s="19"/>
      <c r="H637" s="20"/>
    </row>
    <row r="638" spans="1:8" ht="18.75" x14ac:dyDescent="0.25">
      <c r="A638" s="14">
        <f t="shared" si="9"/>
        <v>637</v>
      </c>
      <c r="B638" s="15"/>
      <c r="C638" s="16" t="s">
        <v>422</v>
      </c>
      <c r="D638" s="16"/>
      <c r="E638" s="17" t="s">
        <v>117</v>
      </c>
      <c r="F638" s="44"/>
      <c r="G638" s="19"/>
      <c r="H638" s="20"/>
    </row>
    <row r="639" spans="1:8" ht="18.75" x14ac:dyDescent="0.25">
      <c r="A639" s="14">
        <f t="shared" si="9"/>
        <v>638</v>
      </c>
      <c r="B639" s="15"/>
      <c r="C639" s="16"/>
      <c r="D639" s="16" t="s">
        <v>423</v>
      </c>
      <c r="E639" s="17" t="s">
        <v>89</v>
      </c>
      <c r="F639" s="44"/>
      <c r="G639" s="19"/>
      <c r="H639" s="20"/>
    </row>
    <row r="640" spans="1:8" ht="18.75" x14ac:dyDescent="0.25">
      <c r="A640" s="14">
        <f t="shared" si="9"/>
        <v>639</v>
      </c>
      <c r="B640" s="15"/>
      <c r="C640" s="16"/>
      <c r="D640" s="16" t="s">
        <v>424</v>
      </c>
      <c r="E640" s="17" t="s">
        <v>89</v>
      </c>
      <c r="F640" s="44"/>
      <c r="G640" s="19"/>
      <c r="H640" s="20"/>
    </row>
    <row r="641" spans="1:8" ht="18.75" x14ac:dyDescent="0.25">
      <c r="A641" s="14">
        <f t="shared" si="9"/>
        <v>640</v>
      </c>
      <c r="B641" s="15"/>
      <c r="C641" s="16"/>
      <c r="D641" s="16" t="s">
        <v>80</v>
      </c>
      <c r="E641" s="17" t="s">
        <v>89</v>
      </c>
      <c r="F641" s="44"/>
      <c r="G641" s="19"/>
      <c r="H641" s="20"/>
    </row>
    <row r="642" spans="1:8" ht="18.75" x14ac:dyDescent="0.25">
      <c r="A642" s="14">
        <f t="shared" si="9"/>
        <v>641</v>
      </c>
      <c r="B642" s="15"/>
      <c r="C642" s="16"/>
      <c r="D642" s="16" t="s">
        <v>422</v>
      </c>
      <c r="E642" s="17" t="s">
        <v>90</v>
      </c>
      <c r="F642" s="44"/>
      <c r="G642" s="19"/>
      <c r="H642" s="20"/>
    </row>
    <row r="643" spans="1:8" ht="18.75" x14ac:dyDescent="0.25">
      <c r="A643" s="14">
        <f t="shared" si="9"/>
        <v>642</v>
      </c>
      <c r="B643" s="15"/>
      <c r="C643" s="16" t="s">
        <v>425</v>
      </c>
      <c r="D643" s="16"/>
      <c r="E643" s="17" t="s">
        <v>117</v>
      </c>
      <c r="F643" s="44"/>
      <c r="G643" s="19"/>
      <c r="H643" s="20"/>
    </row>
    <row r="644" spans="1:8" ht="18.75" x14ac:dyDescent="0.25">
      <c r="A644" s="14">
        <f t="shared" ref="A644:A707" si="10">+A643+1</f>
        <v>643</v>
      </c>
      <c r="B644" s="15"/>
      <c r="C644" s="16"/>
      <c r="D644" s="16" t="s">
        <v>426</v>
      </c>
      <c r="E644" s="17" t="s">
        <v>92</v>
      </c>
      <c r="F644" s="44"/>
      <c r="G644" s="19"/>
      <c r="H644" s="20"/>
    </row>
    <row r="645" spans="1:8" ht="18.75" x14ac:dyDescent="0.25">
      <c r="A645" s="14">
        <f t="shared" si="10"/>
        <v>644</v>
      </c>
      <c r="B645" s="15"/>
      <c r="C645" s="16"/>
      <c r="D645" s="16" t="s">
        <v>427</v>
      </c>
      <c r="E645" s="17" t="s">
        <v>92</v>
      </c>
      <c r="F645" s="44"/>
      <c r="G645" s="19"/>
      <c r="H645" s="20"/>
    </row>
    <row r="646" spans="1:8" ht="37.5" x14ac:dyDescent="0.25">
      <c r="A646" s="14">
        <f t="shared" si="10"/>
        <v>645</v>
      </c>
      <c r="B646" s="15"/>
      <c r="C646" s="16"/>
      <c r="D646" s="16" t="s">
        <v>428</v>
      </c>
      <c r="E646" s="17" t="s">
        <v>92</v>
      </c>
      <c r="F646" s="44"/>
      <c r="G646" s="19"/>
      <c r="H646" s="20"/>
    </row>
    <row r="647" spans="1:8" ht="18.75" x14ac:dyDescent="0.25">
      <c r="A647" s="14">
        <f t="shared" si="10"/>
        <v>646</v>
      </c>
      <c r="B647" s="15"/>
      <c r="C647" s="16"/>
      <c r="D647" s="16" t="s">
        <v>429</v>
      </c>
      <c r="E647" s="17" t="s">
        <v>92</v>
      </c>
      <c r="F647" s="44"/>
      <c r="G647" s="19"/>
      <c r="H647" s="20"/>
    </row>
    <row r="648" spans="1:8" ht="18.75" x14ac:dyDescent="0.25">
      <c r="A648" s="14">
        <f t="shared" si="10"/>
        <v>647</v>
      </c>
      <c r="B648" s="15"/>
      <c r="C648" s="16"/>
      <c r="D648" s="16" t="s">
        <v>430</v>
      </c>
      <c r="E648" s="17" t="s">
        <v>92</v>
      </c>
      <c r="F648" s="44"/>
      <c r="G648" s="19"/>
      <c r="H648" s="20"/>
    </row>
    <row r="649" spans="1:8" ht="37.5" x14ac:dyDescent="0.25">
      <c r="A649" s="14">
        <f t="shared" si="10"/>
        <v>648</v>
      </c>
      <c r="B649" s="15"/>
      <c r="C649" s="16"/>
      <c r="D649" s="16" t="s">
        <v>431</v>
      </c>
      <c r="E649" s="17" t="s">
        <v>92</v>
      </c>
      <c r="F649" s="44"/>
      <c r="G649" s="19"/>
      <c r="H649" s="20"/>
    </row>
    <row r="650" spans="1:8" ht="18.75" x14ac:dyDescent="0.25">
      <c r="A650" s="14">
        <f t="shared" si="10"/>
        <v>649</v>
      </c>
      <c r="B650" s="15"/>
      <c r="C650" s="16"/>
      <c r="D650" s="16" t="s">
        <v>421</v>
      </c>
      <c r="E650" s="17" t="s">
        <v>90</v>
      </c>
      <c r="F650" s="44"/>
      <c r="G650" s="19"/>
      <c r="H650" s="20"/>
    </row>
    <row r="651" spans="1:8" ht="18.75" x14ac:dyDescent="0.25">
      <c r="A651" s="14">
        <f t="shared" si="10"/>
        <v>650</v>
      </c>
      <c r="B651" s="15"/>
      <c r="C651" s="16" t="s">
        <v>432</v>
      </c>
      <c r="D651" s="16"/>
      <c r="E651" s="17" t="s">
        <v>117</v>
      </c>
      <c r="F651" s="44"/>
      <c r="G651" s="19"/>
      <c r="H651" s="20"/>
    </row>
    <row r="652" spans="1:8" ht="18.75" x14ac:dyDescent="0.25">
      <c r="A652" s="14">
        <f t="shared" si="10"/>
        <v>651</v>
      </c>
      <c r="B652" s="15"/>
      <c r="C652" s="16"/>
      <c r="D652" s="16" t="s">
        <v>432</v>
      </c>
      <c r="E652" s="17" t="s">
        <v>101</v>
      </c>
      <c r="F652" s="44"/>
      <c r="G652" s="19"/>
      <c r="H652" s="20"/>
    </row>
    <row r="653" spans="1:8" ht="18.75" x14ac:dyDescent="0.25">
      <c r="A653" s="14">
        <f t="shared" si="10"/>
        <v>652</v>
      </c>
      <c r="B653" s="15" t="s">
        <v>474</v>
      </c>
      <c r="C653" s="16"/>
      <c r="D653" s="16"/>
      <c r="E653" s="17"/>
      <c r="F653" s="44"/>
      <c r="G653" s="19"/>
      <c r="H653" s="20"/>
    </row>
    <row r="654" spans="1:8" ht="18.75" x14ac:dyDescent="0.25">
      <c r="A654" s="14">
        <f t="shared" si="10"/>
        <v>653</v>
      </c>
      <c r="B654" s="15"/>
      <c r="C654" s="16" t="s">
        <v>437</v>
      </c>
      <c r="D654" s="16"/>
      <c r="E654" s="17" t="s">
        <v>90</v>
      </c>
      <c r="F654" s="44"/>
      <c r="G654" s="19"/>
      <c r="H654" s="20"/>
    </row>
    <row r="655" spans="1:8" ht="18.75" x14ac:dyDescent="0.25">
      <c r="A655" s="14">
        <f t="shared" si="10"/>
        <v>654</v>
      </c>
      <c r="B655" s="15"/>
      <c r="C655" s="16"/>
      <c r="D655" s="16" t="s">
        <v>435</v>
      </c>
      <c r="E655" s="17" t="s">
        <v>89</v>
      </c>
      <c r="F655" s="44"/>
      <c r="G655" s="19"/>
      <c r="H655" s="20"/>
    </row>
    <row r="656" spans="1:8" ht="18.75" x14ac:dyDescent="0.25">
      <c r="A656" s="14">
        <f t="shared" si="10"/>
        <v>655</v>
      </c>
      <c r="B656" s="15"/>
      <c r="C656" s="16"/>
      <c r="D656" s="16" t="s">
        <v>438</v>
      </c>
      <c r="E656" s="17" t="s">
        <v>95</v>
      </c>
      <c r="F656" s="44"/>
      <c r="G656" s="19"/>
      <c r="H656" s="20"/>
    </row>
    <row r="657" spans="1:8" ht="18.75" x14ac:dyDescent="0.25">
      <c r="A657" s="14">
        <f t="shared" si="10"/>
        <v>656</v>
      </c>
      <c r="B657" s="15"/>
      <c r="C657" s="16"/>
      <c r="D657" s="16" t="s">
        <v>439</v>
      </c>
      <c r="E657" s="17" t="s">
        <v>95</v>
      </c>
      <c r="F657" s="44"/>
      <c r="G657" s="19"/>
      <c r="H657" s="20"/>
    </row>
    <row r="658" spans="1:8" ht="18.75" x14ac:dyDescent="0.25">
      <c r="A658" s="14">
        <f t="shared" si="10"/>
        <v>657</v>
      </c>
      <c r="B658" s="15"/>
      <c r="C658" s="16" t="s">
        <v>433</v>
      </c>
      <c r="D658" s="16"/>
      <c r="E658" s="17" t="s">
        <v>94</v>
      </c>
      <c r="F658" s="44"/>
      <c r="G658" s="19"/>
      <c r="H658" s="20"/>
    </row>
    <row r="659" spans="1:8" ht="18.75" x14ac:dyDescent="0.25">
      <c r="A659" s="14">
        <f t="shared" si="10"/>
        <v>658</v>
      </c>
      <c r="B659" s="15"/>
      <c r="C659" s="16" t="s">
        <v>435</v>
      </c>
      <c r="D659" s="16"/>
      <c r="E659" s="17" t="s">
        <v>91</v>
      </c>
      <c r="F659" s="44"/>
      <c r="G659" s="19"/>
      <c r="H659" s="20"/>
    </row>
    <row r="660" spans="1:8" ht="18.75" x14ac:dyDescent="0.25">
      <c r="A660" s="14">
        <f t="shared" si="10"/>
        <v>659</v>
      </c>
      <c r="B660" s="15"/>
      <c r="C660" s="16" t="s">
        <v>78</v>
      </c>
      <c r="D660" s="16"/>
      <c r="E660" s="17" t="s">
        <v>101</v>
      </c>
      <c r="F660" s="44"/>
      <c r="G660" s="19"/>
      <c r="H660" s="20"/>
    </row>
    <row r="661" spans="1:8" ht="18.75" x14ac:dyDescent="0.25">
      <c r="A661" s="14">
        <f t="shared" si="10"/>
        <v>660</v>
      </c>
      <c r="B661" s="15"/>
      <c r="C661" s="16" t="s">
        <v>436</v>
      </c>
      <c r="D661" s="16"/>
      <c r="E661" s="17" t="s">
        <v>95</v>
      </c>
      <c r="F661" s="44"/>
      <c r="G661" s="19"/>
      <c r="H661" s="20"/>
    </row>
    <row r="662" spans="1:8" ht="18.75" x14ac:dyDescent="0.25">
      <c r="A662" s="14">
        <f t="shared" si="10"/>
        <v>661</v>
      </c>
      <c r="B662" s="15"/>
      <c r="C662" s="16"/>
      <c r="D662" s="16" t="s">
        <v>339</v>
      </c>
      <c r="E662" s="17" t="s">
        <v>90</v>
      </c>
      <c r="F662" s="44"/>
      <c r="G662" s="19"/>
      <c r="H662" s="20"/>
    </row>
    <row r="663" spans="1:8" ht="18.75" x14ac:dyDescent="0.25">
      <c r="A663" s="14">
        <f t="shared" si="10"/>
        <v>662</v>
      </c>
      <c r="B663" s="15"/>
      <c r="C663" s="16"/>
      <c r="D663" s="16" t="s">
        <v>340</v>
      </c>
      <c r="E663" s="17" t="s">
        <v>90</v>
      </c>
      <c r="F663" s="44"/>
      <c r="G663" s="19"/>
      <c r="H663" s="20"/>
    </row>
    <row r="664" spans="1:8" ht="18.75" x14ac:dyDescent="0.25">
      <c r="A664" s="14">
        <f t="shared" si="10"/>
        <v>663</v>
      </c>
      <c r="B664" s="15"/>
      <c r="C664" s="16" t="s">
        <v>161</v>
      </c>
      <c r="D664" s="16"/>
      <c r="E664" s="17" t="s">
        <v>90</v>
      </c>
      <c r="F664" s="44"/>
      <c r="G664" s="19"/>
      <c r="H664" s="20"/>
    </row>
    <row r="665" spans="1:8" ht="18.75" x14ac:dyDescent="0.25">
      <c r="A665" s="14">
        <f t="shared" si="10"/>
        <v>664</v>
      </c>
      <c r="B665" s="15" t="s">
        <v>475</v>
      </c>
      <c r="C665" s="16"/>
      <c r="D665" s="16"/>
      <c r="E665" s="17"/>
      <c r="F665" s="44"/>
      <c r="G665" s="19"/>
      <c r="H665" s="20"/>
    </row>
    <row r="666" spans="1:8" ht="18.75" x14ac:dyDescent="0.25">
      <c r="A666" s="14">
        <f t="shared" si="10"/>
        <v>665</v>
      </c>
      <c r="B666" s="15"/>
      <c r="C666" s="16" t="s">
        <v>78</v>
      </c>
      <c r="D666" s="16"/>
      <c r="E666" s="17" t="s">
        <v>101</v>
      </c>
      <c r="F666" s="44"/>
      <c r="G666" s="19"/>
      <c r="H666" s="20"/>
    </row>
    <row r="667" spans="1:8" ht="18.75" x14ac:dyDescent="0.25">
      <c r="A667" s="14">
        <f t="shared" si="10"/>
        <v>666</v>
      </c>
      <c r="B667" s="15"/>
      <c r="C667" s="16" t="s">
        <v>440</v>
      </c>
      <c r="D667" s="16"/>
      <c r="E667" s="17" t="s">
        <v>89</v>
      </c>
      <c r="F667" s="44"/>
      <c r="G667" s="19"/>
      <c r="H667" s="20"/>
    </row>
    <row r="668" spans="1:8" ht="18.75" x14ac:dyDescent="0.25">
      <c r="A668" s="14">
        <f t="shared" si="10"/>
        <v>667</v>
      </c>
      <c r="B668" s="15"/>
      <c r="C668" s="16" t="s">
        <v>441</v>
      </c>
      <c r="D668" s="16"/>
      <c r="E668" s="17" t="s">
        <v>120</v>
      </c>
      <c r="F668" s="44"/>
      <c r="G668" s="19"/>
      <c r="H668" s="20"/>
    </row>
    <row r="669" spans="1:8" ht="18.75" x14ac:dyDescent="0.25">
      <c r="A669" s="14">
        <f t="shared" si="10"/>
        <v>668</v>
      </c>
      <c r="B669" s="15"/>
      <c r="C669" s="16" t="s">
        <v>442</v>
      </c>
      <c r="D669" s="16"/>
      <c r="E669" s="17" t="s">
        <v>120</v>
      </c>
      <c r="F669" s="44"/>
      <c r="G669" s="19"/>
      <c r="H669" s="20"/>
    </row>
    <row r="670" spans="1:8" ht="18.75" x14ac:dyDescent="0.25">
      <c r="A670" s="14">
        <f t="shared" si="10"/>
        <v>669</v>
      </c>
      <c r="B670" s="15"/>
      <c r="C670" s="16" t="s">
        <v>443</v>
      </c>
      <c r="D670" s="16"/>
      <c r="E670" s="17" t="s">
        <v>95</v>
      </c>
      <c r="F670" s="44"/>
      <c r="G670" s="19"/>
      <c r="H670" s="20"/>
    </row>
    <row r="671" spans="1:8" ht="18.75" x14ac:dyDescent="0.25">
      <c r="A671" s="14">
        <f t="shared" si="10"/>
        <v>670</v>
      </c>
      <c r="B671" s="15"/>
      <c r="C671" s="16" t="s">
        <v>444</v>
      </c>
      <c r="D671" s="16"/>
      <c r="E671" s="17" t="s">
        <v>95</v>
      </c>
      <c r="F671" s="44"/>
      <c r="G671" s="19"/>
      <c r="H671" s="20"/>
    </row>
    <row r="672" spans="1:8" ht="18.75" x14ac:dyDescent="0.25">
      <c r="A672" s="14">
        <f t="shared" si="10"/>
        <v>671</v>
      </c>
      <c r="B672" s="15" t="s">
        <v>476</v>
      </c>
      <c r="C672" s="16"/>
      <c r="D672" s="16"/>
      <c r="E672" s="17"/>
      <c r="F672" s="44"/>
      <c r="G672" s="19"/>
      <c r="H672" s="20"/>
    </row>
    <row r="673" spans="1:8" ht="18.75" x14ac:dyDescent="0.25">
      <c r="A673" s="14">
        <f t="shared" si="10"/>
        <v>672</v>
      </c>
      <c r="B673" s="15"/>
      <c r="C673" s="16" t="s">
        <v>445</v>
      </c>
      <c r="D673" s="16"/>
      <c r="E673" s="17" t="s">
        <v>90</v>
      </c>
      <c r="F673" s="44"/>
      <c r="G673" s="19"/>
      <c r="H673" s="20"/>
    </row>
    <row r="674" spans="1:8" ht="18.75" x14ac:dyDescent="0.25">
      <c r="A674" s="14">
        <f t="shared" si="10"/>
        <v>673</v>
      </c>
      <c r="B674" s="15"/>
      <c r="C674" s="16" t="s">
        <v>441</v>
      </c>
      <c r="D674" s="16"/>
      <c r="E674" s="17" t="s">
        <v>91</v>
      </c>
      <c r="F674" s="44"/>
      <c r="G674" s="19"/>
      <c r="H674" s="20"/>
    </row>
    <row r="675" spans="1:8" ht="18.75" x14ac:dyDescent="0.25">
      <c r="A675" s="14">
        <f t="shared" si="10"/>
        <v>674</v>
      </c>
      <c r="B675" s="15"/>
      <c r="C675" s="16" t="s">
        <v>161</v>
      </c>
      <c r="D675" s="16"/>
      <c r="E675" s="17" t="s">
        <v>90</v>
      </c>
      <c r="F675" s="44"/>
      <c r="G675" s="19"/>
      <c r="H675" s="20"/>
    </row>
    <row r="676" spans="1:8" ht="18.75" x14ac:dyDescent="0.25">
      <c r="A676" s="14">
        <f t="shared" si="10"/>
        <v>675</v>
      </c>
      <c r="B676" s="15" t="s">
        <v>477</v>
      </c>
      <c r="C676" s="16"/>
      <c r="D676" s="16"/>
      <c r="E676" s="17"/>
      <c r="F676" s="44"/>
      <c r="G676" s="19"/>
      <c r="H676" s="20"/>
    </row>
    <row r="677" spans="1:8" ht="18.75" x14ac:dyDescent="0.25">
      <c r="A677" s="14">
        <f t="shared" si="10"/>
        <v>676</v>
      </c>
      <c r="B677" s="15"/>
      <c r="C677" s="16" t="s">
        <v>441</v>
      </c>
      <c r="D677" s="16"/>
      <c r="E677" s="17" t="s">
        <v>89</v>
      </c>
      <c r="F677" s="44"/>
      <c r="G677" s="19"/>
      <c r="H677" s="20"/>
    </row>
    <row r="678" spans="1:8" ht="18.75" x14ac:dyDescent="0.25">
      <c r="A678" s="14">
        <f t="shared" si="10"/>
        <v>677</v>
      </c>
      <c r="B678" s="15"/>
      <c r="C678" s="16" t="s">
        <v>446</v>
      </c>
      <c r="D678" s="16"/>
      <c r="E678" s="17" t="s">
        <v>120</v>
      </c>
      <c r="F678" s="44"/>
      <c r="G678" s="19"/>
      <c r="H678" s="20"/>
    </row>
    <row r="679" spans="1:8" ht="18.75" x14ac:dyDescent="0.25">
      <c r="A679" s="14">
        <f t="shared" si="10"/>
        <v>678</v>
      </c>
      <c r="B679" s="15"/>
      <c r="C679" s="16" t="s">
        <v>447</v>
      </c>
      <c r="D679" s="16"/>
      <c r="E679" s="17" t="s">
        <v>120</v>
      </c>
      <c r="F679" s="44"/>
      <c r="G679" s="19"/>
      <c r="H679" s="20"/>
    </row>
    <row r="680" spans="1:8" ht="37.5" x14ac:dyDescent="0.25">
      <c r="A680" s="14">
        <f t="shared" si="10"/>
        <v>679</v>
      </c>
      <c r="B680" s="15"/>
      <c r="C680" s="16" t="s">
        <v>448</v>
      </c>
      <c r="D680" s="16"/>
      <c r="E680" s="17" t="s">
        <v>95</v>
      </c>
      <c r="F680" s="44"/>
      <c r="G680" s="19"/>
      <c r="H680" s="20"/>
    </row>
    <row r="681" spans="1:8" ht="18.75" x14ac:dyDescent="0.25">
      <c r="A681" s="14">
        <f t="shared" si="10"/>
        <v>680</v>
      </c>
      <c r="B681" s="15"/>
      <c r="C681" s="16" t="s">
        <v>449</v>
      </c>
      <c r="D681" s="16"/>
      <c r="E681" s="17" t="s">
        <v>95</v>
      </c>
      <c r="F681" s="44"/>
      <c r="G681" s="19"/>
      <c r="H681" s="20"/>
    </row>
    <row r="682" spans="1:8" ht="18.75" x14ac:dyDescent="0.25">
      <c r="A682" s="14">
        <f t="shared" si="10"/>
        <v>681</v>
      </c>
      <c r="B682" s="15" t="s">
        <v>478</v>
      </c>
      <c r="C682" s="16"/>
      <c r="D682" s="16"/>
      <c r="E682" s="17"/>
      <c r="F682" s="44"/>
      <c r="G682" s="19"/>
      <c r="H682" s="20"/>
    </row>
    <row r="683" spans="1:8" ht="18.75" x14ac:dyDescent="0.25">
      <c r="A683" s="14">
        <f t="shared" si="10"/>
        <v>682</v>
      </c>
      <c r="B683" s="15"/>
      <c r="C683" s="16" t="s">
        <v>441</v>
      </c>
      <c r="D683" s="16"/>
      <c r="E683" s="17" t="s">
        <v>89</v>
      </c>
      <c r="F683" s="44"/>
      <c r="G683" s="19"/>
      <c r="H683" s="20"/>
    </row>
    <row r="684" spans="1:8" ht="18.75" x14ac:dyDescent="0.25">
      <c r="A684" s="14">
        <f t="shared" si="10"/>
        <v>683</v>
      </c>
      <c r="B684" s="15"/>
      <c r="C684" s="16" t="s">
        <v>446</v>
      </c>
      <c r="D684" s="16"/>
      <c r="E684" s="17" t="s">
        <v>120</v>
      </c>
      <c r="F684" s="44"/>
      <c r="G684" s="19"/>
      <c r="H684" s="20"/>
    </row>
    <row r="685" spans="1:8" ht="18.75" x14ac:dyDescent="0.25">
      <c r="A685" s="14">
        <f t="shared" si="10"/>
        <v>684</v>
      </c>
      <c r="B685" s="15"/>
      <c r="C685" s="16" t="s">
        <v>447</v>
      </c>
      <c r="D685" s="16"/>
      <c r="E685" s="17" t="s">
        <v>120</v>
      </c>
      <c r="F685" s="44"/>
      <c r="G685" s="19"/>
      <c r="H685" s="20"/>
    </row>
    <row r="686" spans="1:8" ht="37.5" x14ac:dyDescent="0.25">
      <c r="A686" s="14">
        <f t="shared" si="10"/>
        <v>685</v>
      </c>
      <c r="B686" s="15"/>
      <c r="C686" s="16" t="s">
        <v>448</v>
      </c>
      <c r="D686" s="16"/>
      <c r="E686" s="17" t="s">
        <v>95</v>
      </c>
      <c r="F686" s="44"/>
      <c r="G686" s="19"/>
      <c r="H686" s="20"/>
    </row>
    <row r="687" spans="1:8" ht="18.75" x14ac:dyDescent="0.25">
      <c r="A687" s="14">
        <f t="shared" si="10"/>
        <v>686</v>
      </c>
      <c r="B687" s="15"/>
      <c r="C687" s="16" t="s">
        <v>450</v>
      </c>
      <c r="D687" s="16"/>
      <c r="E687" s="17" t="s">
        <v>95</v>
      </c>
      <c r="F687" s="44"/>
      <c r="G687" s="19"/>
      <c r="H687" s="20"/>
    </row>
    <row r="688" spans="1:8" ht="18.75" x14ac:dyDescent="0.25">
      <c r="A688" s="14">
        <f t="shared" si="10"/>
        <v>687</v>
      </c>
      <c r="B688" s="15" t="s">
        <v>479</v>
      </c>
      <c r="C688" s="16"/>
      <c r="D688" s="16"/>
      <c r="E688" s="17"/>
      <c r="F688" s="44"/>
      <c r="G688" s="19"/>
      <c r="H688" s="20"/>
    </row>
    <row r="689" spans="1:8" ht="18.75" x14ac:dyDescent="0.25">
      <c r="A689" s="14">
        <f t="shared" si="10"/>
        <v>688</v>
      </c>
      <c r="B689" s="15"/>
      <c r="C689" s="16" t="s">
        <v>451</v>
      </c>
      <c r="D689" s="16"/>
      <c r="E689" s="17" t="s">
        <v>90</v>
      </c>
      <c r="F689" s="44"/>
      <c r="G689" s="19"/>
      <c r="H689" s="20"/>
    </row>
    <row r="690" spans="1:8" ht="18.75" x14ac:dyDescent="0.25">
      <c r="A690" s="14">
        <f t="shared" si="10"/>
        <v>689</v>
      </c>
      <c r="B690" s="15"/>
      <c r="C690" s="16" t="s">
        <v>433</v>
      </c>
      <c r="D690" s="16"/>
      <c r="E690" s="17" t="s">
        <v>94</v>
      </c>
      <c r="F690" s="44"/>
      <c r="G690" s="19"/>
      <c r="H690" s="20"/>
    </row>
    <row r="691" spans="1:8" ht="18.75" x14ac:dyDescent="0.25">
      <c r="A691" s="14">
        <f t="shared" si="10"/>
        <v>690</v>
      </c>
      <c r="B691" s="15"/>
      <c r="C691" s="16" t="s">
        <v>435</v>
      </c>
      <c r="D691" s="16"/>
      <c r="E691" s="17" t="s">
        <v>91</v>
      </c>
      <c r="F691" s="44"/>
      <c r="G691" s="19"/>
      <c r="H691" s="20"/>
    </row>
    <row r="692" spans="1:8" ht="18.75" x14ac:dyDescent="0.25">
      <c r="A692" s="14">
        <f t="shared" si="10"/>
        <v>691</v>
      </c>
      <c r="B692" s="15"/>
      <c r="C692" s="16" t="s">
        <v>78</v>
      </c>
      <c r="D692" s="16"/>
      <c r="E692" s="17" t="s">
        <v>101</v>
      </c>
      <c r="F692" s="44"/>
      <c r="G692" s="19"/>
      <c r="H692" s="20"/>
    </row>
    <row r="693" spans="1:8" ht="18.75" x14ac:dyDescent="0.25">
      <c r="A693" s="14">
        <f t="shared" si="10"/>
        <v>692</v>
      </c>
      <c r="B693" s="15"/>
      <c r="C693" s="16" t="s">
        <v>441</v>
      </c>
      <c r="D693" s="16"/>
      <c r="E693" s="17" t="s">
        <v>101</v>
      </c>
      <c r="F693" s="44"/>
      <c r="G693" s="19"/>
      <c r="H693" s="20"/>
    </row>
    <row r="694" spans="1:8" ht="18.75" x14ac:dyDescent="0.25">
      <c r="A694" s="14">
        <f t="shared" si="10"/>
        <v>693</v>
      </c>
      <c r="B694" s="15"/>
      <c r="C694" s="16" t="s">
        <v>452</v>
      </c>
      <c r="D694" s="16"/>
      <c r="E694" s="17" t="s">
        <v>95</v>
      </c>
      <c r="F694" s="44"/>
      <c r="G694" s="19"/>
      <c r="H694" s="20"/>
    </row>
    <row r="695" spans="1:8" ht="18.75" x14ac:dyDescent="0.25">
      <c r="A695" s="14">
        <f t="shared" si="10"/>
        <v>694</v>
      </c>
      <c r="B695" s="15"/>
      <c r="C695" s="16"/>
      <c r="D695" s="16" t="s">
        <v>339</v>
      </c>
      <c r="E695" s="17" t="s">
        <v>90</v>
      </c>
      <c r="F695" s="44"/>
      <c r="G695" s="19"/>
      <c r="H695" s="20"/>
    </row>
    <row r="696" spans="1:8" ht="18.75" x14ac:dyDescent="0.25">
      <c r="A696" s="14">
        <f t="shared" si="10"/>
        <v>695</v>
      </c>
      <c r="B696" s="15"/>
      <c r="C696" s="16"/>
      <c r="D696" s="16" t="s">
        <v>340</v>
      </c>
      <c r="E696" s="17" t="s">
        <v>90</v>
      </c>
      <c r="F696" s="44"/>
      <c r="G696" s="19"/>
      <c r="H696" s="20"/>
    </row>
    <row r="697" spans="1:8" ht="18.75" x14ac:dyDescent="0.25">
      <c r="A697" s="14">
        <f t="shared" si="10"/>
        <v>696</v>
      </c>
      <c r="B697" s="15"/>
      <c r="C697" s="16" t="s">
        <v>161</v>
      </c>
      <c r="D697" s="16"/>
      <c r="E697" s="17" t="s">
        <v>90</v>
      </c>
      <c r="F697" s="44"/>
      <c r="G697" s="19"/>
      <c r="H697" s="20"/>
    </row>
    <row r="698" spans="1:8" ht="18.75" x14ac:dyDescent="0.25">
      <c r="A698" s="14">
        <f t="shared" si="10"/>
        <v>697</v>
      </c>
      <c r="B698" s="15" t="s">
        <v>480</v>
      </c>
      <c r="C698" s="16"/>
      <c r="D698" s="16"/>
      <c r="E698" s="17"/>
      <c r="F698" s="44"/>
      <c r="G698" s="19"/>
      <c r="H698" s="20"/>
    </row>
    <row r="699" spans="1:8" ht="18.75" x14ac:dyDescent="0.25">
      <c r="A699" s="14">
        <f t="shared" si="10"/>
        <v>698</v>
      </c>
      <c r="B699" s="15"/>
      <c r="C699" s="16" t="s">
        <v>441</v>
      </c>
      <c r="D699" s="16"/>
      <c r="E699" s="17" t="s">
        <v>120</v>
      </c>
      <c r="F699" s="44"/>
      <c r="G699" s="19"/>
      <c r="H699" s="20"/>
    </row>
    <row r="700" spans="1:8" ht="18.75" x14ac:dyDescent="0.25">
      <c r="A700" s="14">
        <f t="shared" si="10"/>
        <v>699</v>
      </c>
      <c r="B700" s="15"/>
      <c r="C700" s="16" t="s">
        <v>335</v>
      </c>
      <c r="D700" s="16"/>
      <c r="E700" s="17" t="s">
        <v>89</v>
      </c>
      <c r="F700" s="44"/>
      <c r="G700" s="19"/>
      <c r="H700" s="20"/>
    </row>
    <row r="701" spans="1:8" ht="18.75" x14ac:dyDescent="0.25">
      <c r="A701" s="14">
        <f t="shared" si="10"/>
        <v>700</v>
      </c>
      <c r="B701" s="15"/>
      <c r="C701" s="16" t="s">
        <v>442</v>
      </c>
      <c r="D701" s="16"/>
      <c r="E701" s="17" t="s">
        <v>120</v>
      </c>
      <c r="F701" s="44"/>
      <c r="G701" s="19"/>
      <c r="H701" s="20"/>
    </row>
    <row r="702" spans="1:8" ht="18.75" x14ac:dyDescent="0.25">
      <c r="A702" s="14">
        <f t="shared" si="10"/>
        <v>701</v>
      </c>
      <c r="B702" s="15"/>
      <c r="C702" s="16" t="s">
        <v>453</v>
      </c>
      <c r="D702" s="16"/>
      <c r="E702" s="17" t="s">
        <v>95</v>
      </c>
      <c r="F702" s="44"/>
      <c r="G702" s="19"/>
      <c r="H702" s="20"/>
    </row>
    <row r="703" spans="1:8" ht="18.75" x14ac:dyDescent="0.25">
      <c r="A703" s="14">
        <f t="shared" si="10"/>
        <v>702</v>
      </c>
      <c r="B703" s="15"/>
      <c r="C703" s="16" t="s">
        <v>454</v>
      </c>
      <c r="D703" s="16"/>
      <c r="E703" s="17" t="s">
        <v>95</v>
      </c>
      <c r="F703" s="44"/>
      <c r="G703" s="19"/>
      <c r="H703" s="20"/>
    </row>
    <row r="704" spans="1:8" ht="18.75" x14ac:dyDescent="0.25">
      <c r="A704" s="14">
        <f t="shared" si="10"/>
        <v>703</v>
      </c>
      <c r="B704" s="15" t="s">
        <v>481</v>
      </c>
      <c r="C704" s="16"/>
      <c r="D704" s="16"/>
      <c r="E704" s="17"/>
      <c r="F704" s="44"/>
      <c r="G704" s="19"/>
      <c r="H704" s="20"/>
    </row>
    <row r="705" spans="1:8" ht="18.75" x14ac:dyDescent="0.25">
      <c r="A705" s="14">
        <f t="shared" si="10"/>
        <v>704</v>
      </c>
      <c r="B705" s="15"/>
      <c r="C705" s="16" t="s">
        <v>78</v>
      </c>
      <c r="D705" s="16"/>
      <c r="E705" s="17" t="s">
        <v>89</v>
      </c>
      <c r="F705" s="44"/>
      <c r="G705" s="19"/>
      <c r="H705" s="20"/>
    </row>
    <row r="706" spans="1:8" ht="18.75" x14ac:dyDescent="0.25">
      <c r="A706" s="14">
        <f t="shared" si="10"/>
        <v>705</v>
      </c>
      <c r="B706" s="15"/>
      <c r="C706" s="16" t="s">
        <v>441</v>
      </c>
      <c r="D706" s="16"/>
      <c r="E706" s="17" t="s">
        <v>120</v>
      </c>
      <c r="F706" s="44"/>
      <c r="G706" s="19"/>
      <c r="H706" s="20"/>
    </row>
    <row r="707" spans="1:8" ht="18.75" x14ac:dyDescent="0.25">
      <c r="A707" s="14">
        <f t="shared" si="10"/>
        <v>706</v>
      </c>
      <c r="B707" s="15"/>
      <c r="C707" s="16" t="s">
        <v>442</v>
      </c>
      <c r="D707" s="16"/>
      <c r="E707" s="17" t="s">
        <v>120</v>
      </c>
      <c r="F707" s="44"/>
      <c r="G707" s="19"/>
      <c r="H707" s="20"/>
    </row>
    <row r="708" spans="1:8" ht="18.75" x14ac:dyDescent="0.25">
      <c r="A708" s="14">
        <f t="shared" ref="A708:A754" si="11">+A707+1</f>
        <v>707</v>
      </c>
      <c r="B708" s="15"/>
      <c r="C708" s="16" t="s">
        <v>453</v>
      </c>
      <c r="D708" s="16"/>
      <c r="E708" s="17" t="s">
        <v>95</v>
      </c>
      <c r="F708" s="44"/>
      <c r="G708" s="19"/>
      <c r="H708" s="20"/>
    </row>
    <row r="709" spans="1:8" ht="18.75" x14ac:dyDescent="0.25">
      <c r="A709" s="14">
        <f t="shared" si="11"/>
        <v>708</v>
      </c>
      <c r="B709" s="15"/>
      <c r="C709" s="16" t="s">
        <v>455</v>
      </c>
      <c r="D709" s="16"/>
      <c r="E709" s="17" t="s">
        <v>95</v>
      </c>
      <c r="F709" s="44"/>
      <c r="G709" s="19"/>
      <c r="H709" s="20"/>
    </row>
    <row r="710" spans="1:8" ht="18.75" x14ac:dyDescent="0.25">
      <c r="A710" s="14">
        <f t="shared" si="11"/>
        <v>709</v>
      </c>
      <c r="B710" s="15" t="s">
        <v>482</v>
      </c>
      <c r="C710" s="16"/>
      <c r="D710" s="16"/>
      <c r="E710" s="17"/>
      <c r="F710" s="44"/>
      <c r="G710" s="19"/>
      <c r="H710" s="20"/>
    </row>
    <row r="711" spans="1:8" ht="18.75" x14ac:dyDescent="0.25">
      <c r="A711" s="14">
        <f t="shared" si="11"/>
        <v>710</v>
      </c>
      <c r="B711" s="15"/>
      <c r="C711" s="16" t="s">
        <v>456</v>
      </c>
      <c r="D711" s="16"/>
      <c r="E711" s="17" t="s">
        <v>90</v>
      </c>
      <c r="F711" s="44"/>
      <c r="G711" s="19"/>
      <c r="H711" s="20"/>
    </row>
    <row r="712" spans="1:8" ht="18.75" x14ac:dyDescent="0.25">
      <c r="A712" s="14">
        <f t="shared" si="11"/>
        <v>711</v>
      </c>
      <c r="B712" s="15"/>
      <c r="C712" s="16" t="s">
        <v>457</v>
      </c>
      <c r="D712" s="16"/>
      <c r="E712" s="17" t="s">
        <v>91</v>
      </c>
      <c r="F712" s="44"/>
      <c r="G712" s="19"/>
      <c r="H712" s="20"/>
    </row>
    <row r="713" spans="1:8" ht="18.75" x14ac:dyDescent="0.25">
      <c r="A713" s="14">
        <f t="shared" si="11"/>
        <v>712</v>
      </c>
      <c r="B713" s="15"/>
      <c r="C713" s="16" t="s">
        <v>148</v>
      </c>
      <c r="D713" s="16"/>
      <c r="E713" s="17" t="s">
        <v>101</v>
      </c>
      <c r="F713" s="44"/>
      <c r="G713" s="19"/>
      <c r="H713" s="20"/>
    </row>
    <row r="714" spans="1:8" ht="18.75" x14ac:dyDescent="0.25">
      <c r="A714" s="14">
        <f t="shared" si="11"/>
        <v>713</v>
      </c>
      <c r="B714" s="15"/>
      <c r="C714" s="16" t="s">
        <v>459</v>
      </c>
      <c r="D714" s="16"/>
      <c r="E714" s="17" t="s">
        <v>90</v>
      </c>
      <c r="F714" s="44"/>
      <c r="G714" s="19"/>
      <c r="H714" s="20"/>
    </row>
    <row r="715" spans="1:8" ht="18.75" x14ac:dyDescent="0.25">
      <c r="A715" s="14">
        <f t="shared" si="11"/>
        <v>714</v>
      </c>
      <c r="B715" s="15"/>
      <c r="C715" s="16" t="s">
        <v>458</v>
      </c>
      <c r="D715" s="16"/>
      <c r="E715" s="17" t="s">
        <v>95</v>
      </c>
      <c r="F715" s="44"/>
      <c r="G715" s="19"/>
      <c r="H715" s="20"/>
    </row>
    <row r="716" spans="1:8" ht="18.75" x14ac:dyDescent="0.25">
      <c r="A716" s="14">
        <f t="shared" si="11"/>
        <v>715</v>
      </c>
      <c r="B716" s="15"/>
      <c r="C716" s="16"/>
      <c r="D716" s="16" t="s">
        <v>339</v>
      </c>
      <c r="E716" s="17" t="s">
        <v>90</v>
      </c>
      <c r="F716" s="44"/>
      <c r="G716" s="19"/>
      <c r="H716" s="20"/>
    </row>
    <row r="717" spans="1:8" ht="18.75" x14ac:dyDescent="0.25">
      <c r="A717" s="14">
        <f t="shared" si="11"/>
        <v>716</v>
      </c>
      <c r="B717" s="15"/>
      <c r="C717" s="16"/>
      <c r="D717" s="16" t="s">
        <v>340</v>
      </c>
      <c r="E717" s="17" t="s">
        <v>90</v>
      </c>
      <c r="F717" s="44"/>
      <c r="G717" s="19"/>
      <c r="H717" s="20"/>
    </row>
    <row r="718" spans="1:8" ht="18.75" x14ac:dyDescent="0.25">
      <c r="A718" s="14">
        <f t="shared" si="11"/>
        <v>717</v>
      </c>
      <c r="B718" s="15" t="s">
        <v>483</v>
      </c>
      <c r="C718" s="16"/>
      <c r="D718" s="16"/>
      <c r="E718" s="17"/>
      <c r="F718" s="44"/>
      <c r="G718" s="19"/>
      <c r="H718" s="20"/>
    </row>
    <row r="719" spans="1:8" ht="18.75" x14ac:dyDescent="0.25">
      <c r="A719" s="14">
        <f t="shared" si="11"/>
        <v>718</v>
      </c>
      <c r="B719" s="15"/>
      <c r="C719" s="16" t="s">
        <v>457</v>
      </c>
      <c r="D719" s="16"/>
      <c r="E719" s="17" t="s">
        <v>101</v>
      </c>
      <c r="F719" s="44"/>
      <c r="G719" s="19"/>
      <c r="H719" s="20"/>
    </row>
    <row r="720" spans="1:8" ht="18.75" x14ac:dyDescent="0.25">
      <c r="A720" s="14">
        <f t="shared" si="11"/>
        <v>719</v>
      </c>
      <c r="B720" s="15"/>
      <c r="C720" s="16" t="s">
        <v>148</v>
      </c>
      <c r="D720" s="16"/>
      <c r="E720" s="17" t="s">
        <v>101</v>
      </c>
      <c r="F720" s="44"/>
      <c r="G720" s="19"/>
      <c r="H720" s="20"/>
    </row>
    <row r="721" spans="1:8" ht="18.75" x14ac:dyDescent="0.25">
      <c r="A721" s="14">
        <f t="shared" si="11"/>
        <v>720</v>
      </c>
      <c r="B721" s="15"/>
      <c r="C721" s="16" t="s">
        <v>460</v>
      </c>
      <c r="D721" s="16"/>
      <c r="E721" s="17" t="s">
        <v>95</v>
      </c>
      <c r="F721" s="44"/>
      <c r="G721" s="19"/>
      <c r="H721" s="20"/>
    </row>
    <row r="722" spans="1:8" ht="18.75" x14ac:dyDescent="0.25">
      <c r="A722" s="14">
        <f t="shared" si="11"/>
        <v>721</v>
      </c>
      <c r="B722" s="15"/>
      <c r="C722" s="16" t="s">
        <v>461</v>
      </c>
      <c r="D722" s="16"/>
      <c r="E722" s="17" t="s">
        <v>95</v>
      </c>
      <c r="F722" s="44"/>
      <c r="G722" s="19"/>
      <c r="H722" s="20"/>
    </row>
    <row r="723" spans="1:8" ht="18.75" x14ac:dyDescent="0.25">
      <c r="A723" s="14">
        <f t="shared" si="11"/>
        <v>722</v>
      </c>
      <c r="B723" s="15" t="s">
        <v>484</v>
      </c>
      <c r="C723" s="16"/>
      <c r="D723" s="16"/>
      <c r="E723" s="17"/>
      <c r="F723" s="44"/>
      <c r="G723" s="19"/>
      <c r="H723" s="20"/>
    </row>
    <row r="724" spans="1:8" ht="18.75" x14ac:dyDescent="0.25">
      <c r="A724" s="14">
        <f t="shared" si="11"/>
        <v>723</v>
      </c>
      <c r="B724" s="15"/>
      <c r="C724" s="16" t="s">
        <v>457</v>
      </c>
      <c r="D724" s="16"/>
      <c r="E724" s="17" t="s">
        <v>101</v>
      </c>
      <c r="F724" s="44"/>
      <c r="G724" s="19"/>
      <c r="H724" s="20"/>
    </row>
    <row r="725" spans="1:8" ht="18.75" x14ac:dyDescent="0.25">
      <c r="A725" s="14">
        <f t="shared" si="11"/>
        <v>724</v>
      </c>
      <c r="B725" s="15"/>
      <c r="C725" s="16" t="s">
        <v>148</v>
      </c>
      <c r="D725" s="16"/>
      <c r="E725" s="17" t="s">
        <v>101</v>
      </c>
      <c r="F725" s="44"/>
      <c r="G725" s="19"/>
      <c r="H725" s="20"/>
    </row>
    <row r="726" spans="1:8" ht="18.75" x14ac:dyDescent="0.25">
      <c r="A726" s="14">
        <f t="shared" si="11"/>
        <v>725</v>
      </c>
      <c r="B726" s="15"/>
      <c r="C726" s="16" t="s">
        <v>460</v>
      </c>
      <c r="D726" s="16"/>
      <c r="E726" s="17" t="s">
        <v>95</v>
      </c>
      <c r="F726" s="44"/>
      <c r="G726" s="19"/>
      <c r="H726" s="20"/>
    </row>
    <row r="727" spans="1:8" ht="18.75" x14ac:dyDescent="0.25">
      <c r="A727" s="14">
        <f t="shared" si="11"/>
        <v>726</v>
      </c>
      <c r="B727" s="15"/>
      <c r="C727" s="16" t="s">
        <v>462</v>
      </c>
      <c r="D727" s="16"/>
      <c r="E727" s="17" t="s">
        <v>95</v>
      </c>
      <c r="F727" s="44"/>
      <c r="G727" s="19"/>
      <c r="H727" s="20"/>
    </row>
    <row r="728" spans="1:8" ht="18.75" x14ac:dyDescent="0.25">
      <c r="A728" s="14">
        <f t="shared" si="11"/>
        <v>727</v>
      </c>
      <c r="B728" s="15" t="s">
        <v>485</v>
      </c>
      <c r="C728" s="16"/>
      <c r="D728" s="16"/>
      <c r="E728" s="17"/>
      <c r="F728" s="44"/>
      <c r="G728" s="19"/>
      <c r="H728" s="20"/>
    </row>
    <row r="729" spans="1:8" ht="18.75" x14ac:dyDescent="0.25">
      <c r="A729" s="14">
        <f t="shared" si="11"/>
        <v>728</v>
      </c>
      <c r="B729" s="15"/>
      <c r="C729" s="16" t="s">
        <v>463</v>
      </c>
      <c r="D729" s="16"/>
      <c r="E729" s="17" t="s">
        <v>90</v>
      </c>
      <c r="F729" s="44"/>
      <c r="G729" s="19"/>
      <c r="H729" s="20"/>
    </row>
    <row r="730" spans="1:8" ht="18.75" x14ac:dyDescent="0.25">
      <c r="A730" s="14">
        <f t="shared" si="11"/>
        <v>729</v>
      </c>
      <c r="B730" s="15"/>
      <c r="C730" s="16" t="s">
        <v>433</v>
      </c>
      <c r="D730" s="16"/>
      <c r="E730" s="17" t="s">
        <v>94</v>
      </c>
      <c r="F730" s="44"/>
      <c r="G730" s="19"/>
      <c r="H730" s="20"/>
    </row>
    <row r="731" spans="1:8" ht="18.75" x14ac:dyDescent="0.25">
      <c r="A731" s="14">
        <f t="shared" si="11"/>
        <v>730</v>
      </c>
      <c r="B731" s="15"/>
      <c r="C731" s="16" t="s">
        <v>435</v>
      </c>
      <c r="D731" s="16"/>
      <c r="E731" s="17" t="s">
        <v>101</v>
      </c>
      <c r="F731" s="44"/>
      <c r="G731" s="19"/>
      <c r="H731" s="20"/>
    </row>
    <row r="732" spans="1:8" ht="18.75" x14ac:dyDescent="0.25">
      <c r="A732" s="14">
        <f t="shared" si="11"/>
        <v>731</v>
      </c>
      <c r="B732" s="15"/>
      <c r="C732" s="16" t="s">
        <v>78</v>
      </c>
      <c r="D732" s="16"/>
      <c r="E732" s="17" t="s">
        <v>101</v>
      </c>
      <c r="F732" s="44"/>
      <c r="G732" s="19"/>
      <c r="H732" s="20"/>
    </row>
    <row r="733" spans="1:8" ht="18.75" x14ac:dyDescent="0.25">
      <c r="A733" s="14">
        <f t="shared" si="11"/>
        <v>732</v>
      </c>
      <c r="B733" s="15"/>
      <c r="C733" s="16" t="s">
        <v>457</v>
      </c>
      <c r="D733" s="16"/>
      <c r="E733" s="17" t="s">
        <v>101</v>
      </c>
      <c r="F733" s="44"/>
      <c r="G733" s="19"/>
      <c r="H733" s="20"/>
    </row>
    <row r="734" spans="1:8" ht="18.75" x14ac:dyDescent="0.25">
      <c r="A734" s="14">
        <f t="shared" si="11"/>
        <v>733</v>
      </c>
      <c r="B734" s="15"/>
      <c r="C734" s="16" t="s">
        <v>464</v>
      </c>
      <c r="D734" s="16"/>
      <c r="E734" s="17" t="s">
        <v>95</v>
      </c>
      <c r="F734" s="44"/>
      <c r="G734" s="19"/>
      <c r="H734" s="20"/>
    </row>
    <row r="735" spans="1:8" ht="18.75" x14ac:dyDescent="0.25">
      <c r="A735" s="14">
        <f t="shared" si="11"/>
        <v>734</v>
      </c>
      <c r="B735" s="15"/>
      <c r="C735" s="16"/>
      <c r="D735" s="16" t="s">
        <v>339</v>
      </c>
      <c r="E735" s="17" t="s">
        <v>90</v>
      </c>
      <c r="F735" s="44"/>
      <c r="G735" s="19"/>
      <c r="H735" s="20"/>
    </row>
    <row r="736" spans="1:8" ht="18.75" x14ac:dyDescent="0.25">
      <c r="A736" s="14">
        <f t="shared" si="11"/>
        <v>735</v>
      </c>
      <c r="B736" s="15"/>
      <c r="C736" s="16"/>
      <c r="D736" s="16" t="s">
        <v>340</v>
      </c>
      <c r="E736" s="17" t="s">
        <v>90</v>
      </c>
      <c r="F736" s="44"/>
      <c r="G736" s="19"/>
      <c r="H736" s="20"/>
    </row>
    <row r="737" spans="1:8" ht="18.75" x14ac:dyDescent="0.25">
      <c r="A737" s="14">
        <f t="shared" si="11"/>
        <v>736</v>
      </c>
      <c r="B737" s="15" t="s">
        <v>465</v>
      </c>
      <c r="C737" s="16"/>
      <c r="D737" s="16"/>
      <c r="E737" s="17"/>
      <c r="F737" s="44"/>
      <c r="G737" s="19"/>
      <c r="H737" s="20"/>
    </row>
    <row r="738" spans="1:8" ht="18.75" x14ac:dyDescent="0.25">
      <c r="A738" s="14">
        <f t="shared" si="11"/>
        <v>737</v>
      </c>
      <c r="B738" s="15"/>
      <c r="C738" s="16" t="s">
        <v>457</v>
      </c>
      <c r="D738" s="16"/>
      <c r="E738" s="17" t="s">
        <v>101</v>
      </c>
      <c r="F738" s="44"/>
      <c r="G738" s="19"/>
      <c r="H738" s="20"/>
    </row>
    <row r="739" spans="1:8" ht="18.75" x14ac:dyDescent="0.25">
      <c r="A739" s="14">
        <f t="shared" si="11"/>
        <v>738</v>
      </c>
      <c r="B739" s="15"/>
      <c r="C739" s="16" t="s">
        <v>335</v>
      </c>
      <c r="D739" s="16"/>
      <c r="E739" s="17" t="s">
        <v>89</v>
      </c>
      <c r="F739" s="44"/>
      <c r="G739" s="19"/>
      <c r="H739" s="20"/>
    </row>
    <row r="740" spans="1:8" ht="18.75" x14ac:dyDescent="0.25">
      <c r="A740" s="14">
        <f t="shared" si="11"/>
        <v>739</v>
      </c>
      <c r="B740" s="15"/>
      <c r="C740" s="16" t="s">
        <v>466</v>
      </c>
      <c r="D740" s="16"/>
      <c r="E740" s="17" t="s">
        <v>95</v>
      </c>
      <c r="F740" s="44"/>
      <c r="G740" s="19"/>
      <c r="H740" s="20"/>
    </row>
    <row r="741" spans="1:8" ht="18.75" x14ac:dyDescent="0.25">
      <c r="A741" s="14">
        <f t="shared" si="11"/>
        <v>740</v>
      </c>
      <c r="B741" s="15"/>
      <c r="C741" s="16" t="s">
        <v>467</v>
      </c>
      <c r="D741" s="16"/>
      <c r="E741" s="17" t="s">
        <v>95</v>
      </c>
      <c r="F741" s="44"/>
      <c r="G741" s="19"/>
      <c r="H741" s="20"/>
    </row>
    <row r="742" spans="1:8" ht="18.75" x14ac:dyDescent="0.25">
      <c r="A742" s="14">
        <f t="shared" si="11"/>
        <v>741</v>
      </c>
      <c r="B742" s="15" t="s">
        <v>486</v>
      </c>
      <c r="C742" s="16"/>
      <c r="D742" s="16"/>
      <c r="E742" s="17"/>
      <c r="F742" s="44"/>
      <c r="G742" s="19"/>
      <c r="H742" s="20"/>
    </row>
    <row r="743" spans="1:8" ht="18.75" x14ac:dyDescent="0.25">
      <c r="A743" s="14">
        <f t="shared" si="11"/>
        <v>742</v>
      </c>
      <c r="B743" s="15"/>
      <c r="C743" s="16" t="s">
        <v>15</v>
      </c>
      <c r="D743" s="16"/>
      <c r="E743" s="17"/>
      <c r="F743" s="44"/>
      <c r="G743" s="19"/>
      <c r="H743" s="20"/>
    </row>
    <row r="744" spans="1:8" ht="18.75" x14ac:dyDescent="0.25">
      <c r="A744" s="14">
        <f t="shared" si="11"/>
        <v>743</v>
      </c>
      <c r="B744" s="15"/>
      <c r="C744" s="16" t="s">
        <v>20</v>
      </c>
      <c r="D744" s="16"/>
      <c r="E744" s="17"/>
      <c r="F744" s="44"/>
      <c r="G744" s="19"/>
      <c r="H744" s="20"/>
    </row>
    <row r="745" spans="1:8" ht="18.75" x14ac:dyDescent="0.25">
      <c r="A745" s="14">
        <f t="shared" si="11"/>
        <v>744</v>
      </c>
      <c r="B745" s="15"/>
      <c r="C745" s="16" t="s">
        <v>59</v>
      </c>
      <c r="D745" s="16"/>
      <c r="E745" s="17"/>
      <c r="F745" s="44"/>
      <c r="G745" s="19"/>
      <c r="H745" s="20"/>
    </row>
    <row r="746" spans="1:8" ht="18.75" x14ac:dyDescent="0.25">
      <c r="A746" s="14">
        <f t="shared" si="11"/>
        <v>745</v>
      </c>
      <c r="B746" s="15"/>
      <c r="C746" s="16" t="s">
        <v>21</v>
      </c>
      <c r="D746" s="16"/>
      <c r="E746" s="17"/>
      <c r="F746" s="44"/>
      <c r="G746" s="19"/>
      <c r="H746" s="20"/>
    </row>
    <row r="747" spans="1:8" ht="18.75" x14ac:dyDescent="0.25">
      <c r="A747" s="14">
        <f t="shared" si="11"/>
        <v>746</v>
      </c>
      <c r="B747" s="15"/>
      <c r="C747" s="16" t="s">
        <v>22</v>
      </c>
      <c r="D747" s="16"/>
      <c r="E747" s="17"/>
      <c r="F747" s="44"/>
      <c r="G747" s="19"/>
      <c r="H747" s="20"/>
    </row>
    <row r="748" spans="1:8" ht="18.75" x14ac:dyDescent="0.25">
      <c r="A748" s="14">
        <f t="shared" si="11"/>
        <v>747</v>
      </c>
      <c r="B748" s="15"/>
      <c r="C748" s="16" t="s">
        <v>24</v>
      </c>
      <c r="D748" s="16"/>
      <c r="E748" s="17"/>
      <c r="F748" s="44"/>
      <c r="G748" s="19"/>
      <c r="H748" s="20"/>
    </row>
    <row r="749" spans="1:8" ht="18.75" x14ac:dyDescent="0.25">
      <c r="A749" s="14">
        <f t="shared" si="11"/>
        <v>748</v>
      </c>
      <c r="B749" s="15"/>
      <c r="C749" s="16" t="s">
        <v>25</v>
      </c>
      <c r="D749" s="16"/>
      <c r="E749" s="17"/>
      <c r="F749" s="44"/>
      <c r="G749" s="19"/>
      <c r="H749" s="20"/>
    </row>
    <row r="750" spans="1:8" ht="18.75" x14ac:dyDescent="0.25">
      <c r="A750" s="14">
        <f t="shared" si="11"/>
        <v>749</v>
      </c>
      <c r="B750" s="15"/>
      <c r="C750" s="16" t="s">
        <v>26</v>
      </c>
      <c r="D750" s="16"/>
      <c r="E750" s="17"/>
      <c r="F750" s="44"/>
      <c r="G750" s="19"/>
      <c r="H750" s="20"/>
    </row>
    <row r="751" spans="1:8" ht="18.75" x14ac:dyDescent="0.25">
      <c r="A751" s="14">
        <f t="shared" si="11"/>
        <v>750</v>
      </c>
      <c r="B751" s="15"/>
      <c r="C751" s="16"/>
      <c r="D751" s="16"/>
      <c r="E751" s="17"/>
      <c r="F751" s="44"/>
      <c r="G751" s="19"/>
      <c r="H751" s="20"/>
    </row>
    <row r="752" spans="1:8" ht="18.75" x14ac:dyDescent="0.25">
      <c r="A752" s="14">
        <f t="shared" si="11"/>
        <v>751</v>
      </c>
      <c r="B752" s="15"/>
      <c r="C752" s="16"/>
      <c r="D752" s="16"/>
      <c r="E752" s="17"/>
      <c r="F752" s="44"/>
      <c r="G752" s="19"/>
      <c r="H752" s="20"/>
    </row>
    <row r="753" spans="1:8" ht="18.75" x14ac:dyDescent="0.25">
      <c r="A753" s="14">
        <f t="shared" si="11"/>
        <v>752</v>
      </c>
      <c r="B753" s="15"/>
      <c r="C753" s="16"/>
      <c r="D753" s="16"/>
      <c r="E753" s="17"/>
      <c r="F753" s="44"/>
      <c r="G753" s="19"/>
      <c r="H753" s="20"/>
    </row>
    <row r="754" spans="1:8" ht="18.75" x14ac:dyDescent="0.25">
      <c r="A754" s="14">
        <f t="shared" si="11"/>
        <v>753</v>
      </c>
      <c r="B754" s="15"/>
      <c r="C754" s="16"/>
      <c r="D754" s="16"/>
      <c r="E754" s="17"/>
      <c r="F754" s="44"/>
      <c r="G754" s="19"/>
      <c r="H754" s="20"/>
    </row>
  </sheetData>
  <autoFilter ref="A1:E747"/>
  <conditionalFormatting sqref="F1:F1048576">
    <cfRule type="cellIs" dxfId="143" priority="1" operator="equal">
      <formula>"Fail"</formula>
    </cfRule>
    <cfRule type="cellIs" dxfId="142" priority="2" operator="equal">
      <formula>"Pass"</formula>
    </cfRule>
  </conditionalFormatting>
  <dataValidations count="2">
    <dataValidation type="list" allowBlank="1" showInputMessage="1" showErrorMessage="1" sqref="F2:F754">
      <formula1>Result</formula1>
    </dataValidation>
    <dataValidation type="list" allowBlank="1" showInputMessage="1" showErrorMessage="1" sqref="E2:E240 E242:E754">
      <formula1>Control_List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Dashboard</vt:lpstr>
      <vt:lpstr>Registration - Login</vt:lpstr>
      <vt:lpstr>Add new task</vt:lpstr>
      <vt:lpstr>Personal - Official</vt:lpstr>
      <vt:lpstr>Analytics</vt:lpstr>
      <vt:lpstr>I am following</vt:lpstr>
      <vt:lpstr>Documents</vt:lpstr>
      <vt:lpstr>Calendar</vt:lpstr>
      <vt:lpstr>Notifications</vt:lpstr>
      <vt:lpstr>Repository</vt:lpstr>
      <vt:lpstr>Toolbar</vt:lpstr>
      <vt:lpstr>Email Notifications</vt:lpstr>
      <vt:lpstr>Screen List</vt:lpstr>
      <vt:lpstr>List</vt:lpstr>
      <vt:lpstr>Ref Num</vt:lpstr>
      <vt:lpstr>Complete Features List-28Apr14</vt:lpstr>
      <vt:lpstr>Control_List</vt:lpstr>
      <vt:lpstr>Emp_Name</vt:lpstr>
      <vt:lpstr>Result</vt:lpstr>
      <vt:lpstr>Sheet_Add_new_task</vt:lpstr>
      <vt:lpstr>Sheet_Analytics</vt:lpstr>
      <vt:lpstr>Sheet_Calendar</vt:lpstr>
      <vt:lpstr>Sheet_Dashboard</vt:lpstr>
      <vt:lpstr>Sheet_Documents</vt:lpstr>
      <vt:lpstr>Sheet_Email_Notifications</vt:lpstr>
      <vt:lpstr>Sheet_I_am_following</vt:lpstr>
      <vt:lpstr>Sheet_Notifications</vt:lpstr>
      <vt:lpstr>Sheet_Personal_Official</vt:lpstr>
      <vt:lpstr>Sheet_Registration_Login</vt:lpstr>
      <vt:lpstr>Sheet_Repository</vt:lpstr>
      <vt:lpstr>Sheet_Toolbar</vt:lpstr>
      <vt:lpstr>Task_Type</vt:lpstr>
      <vt:lpstr>Testing_Platform</vt:lpstr>
      <vt:lpstr>Workmatec_Instance</vt:lpstr>
      <vt:lpstr>Workmatec_Instance_Iteration</vt:lpstr>
      <vt:lpstr>Workmatec_Iteration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Nabil Manzoor</dc:creator>
  <cp:lastModifiedBy>Mohsin Asif</cp:lastModifiedBy>
  <dcterms:created xsi:type="dcterms:W3CDTF">2014-01-24T05:48:38Z</dcterms:created>
  <dcterms:modified xsi:type="dcterms:W3CDTF">2014-07-04T11:11:01Z</dcterms:modified>
</cp:coreProperties>
</file>