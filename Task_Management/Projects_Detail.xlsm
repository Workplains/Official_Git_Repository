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workbookPr codeName="ThisWorkbook" defaultThemeVersion="124226"/>
  <bookViews>
    <workbookView xWindow="240" yWindow="105" windowWidth="14805" windowHeight="8010"/>
  </bookViews>
  <sheets>
    <sheet name="Projects Detail" sheetId="1" r:id="rId1"/>
    <sheet name="China Mobile" sheetId="6" r:id="rId2"/>
    <sheet name="Tasks Detail" sheetId="2" r:id="rId3"/>
    <sheet name="ListItems" sheetId="3" r:id="rId4"/>
  </sheets>
  <definedNames>
    <definedName name="China_Mobile_Invoice_Status">ListItems!$S$1:$S$3</definedName>
    <definedName name="China_Mobile_Status">ListItems!$Q$1:$Q$3</definedName>
    <definedName name="Empty">ListItems!$V$1</definedName>
    <definedName name="Percent_Done">ListItems!$I$1:$I$11</definedName>
    <definedName name="Position">ListItems!$O$1:$O$4</definedName>
    <definedName name="Priority">ListItems!$G$1:$G$3</definedName>
    <definedName name="Project_Name">'Projects Detail'!$B$2:$B$22</definedName>
    <definedName name="Project_Status">ListItems!$A$1:$A$8</definedName>
    <definedName name="Resource_Name">ListItems!$K$1:$K$10</definedName>
    <definedName name="Task_Status">ListItems!$D$1:$D$6</definedName>
    <definedName name="Week_Days">ListItems!$M$1:$M$7</definedName>
  </definedNames>
  <calcPr calcId="145621"/>
</workbook>
</file>

<file path=xl/calcChain.xml><?xml version="1.0" encoding="utf-8"?>
<calcChain xmlns="http://schemas.openxmlformats.org/spreadsheetml/2006/main">
  <c r="J10" i="6" l="1"/>
  <c r="J7" i="6" l="1"/>
  <c r="N13" i="2"/>
  <c r="N10" i="2"/>
  <c r="C19" i="6" l="1"/>
  <c r="D4" i="6"/>
  <c r="D5" i="6" s="1"/>
  <c r="D6" i="6" s="1"/>
  <c r="D7" i="6" s="1"/>
  <c r="D8" i="6" s="1"/>
  <c r="D9" i="6" s="1"/>
  <c r="D10" i="6" s="1"/>
  <c r="D11" i="6" s="1"/>
  <c r="D12" i="6" s="1"/>
  <c r="D13" i="6" s="1"/>
  <c r="D14" i="6" s="1"/>
  <c r="D15" i="6" s="1"/>
  <c r="D16" i="6" s="1"/>
  <c r="D17" i="6" s="1"/>
  <c r="D18" i="6" s="1"/>
  <c r="A5" i="6"/>
  <c r="A6" i="6" s="1"/>
  <c r="A7" i="6" s="1"/>
  <c r="A8" i="6" s="1"/>
  <c r="A9" i="6" s="1"/>
  <c r="A10" i="6" s="1"/>
  <c r="A11" i="6" s="1"/>
  <c r="A12" i="6" s="1"/>
  <c r="A13" i="6" s="1"/>
  <c r="A14" i="6" s="1"/>
  <c r="A15" i="6" s="1"/>
  <c r="A16" i="6" s="1"/>
  <c r="A17" i="6" s="1"/>
  <c r="A18" i="6" s="1"/>
  <c r="J2" i="2" l="1"/>
  <c r="K2" i="2" s="1"/>
  <c r="J3" i="2"/>
  <c r="K3" i="2" s="1"/>
  <c r="J4" i="2"/>
  <c r="K4" i="2" s="1"/>
  <c r="J5" i="2"/>
  <c r="K5" i="2" s="1"/>
  <c r="J6" i="2"/>
  <c r="K6" i="2" s="1"/>
  <c r="J7" i="2"/>
  <c r="K7" i="2" s="1"/>
  <c r="J8" i="2"/>
  <c r="K8" i="2" s="1"/>
  <c r="A3" i="2"/>
  <c r="A4" i="2" s="1"/>
  <c r="A5" i="2" s="1"/>
  <c r="A6" i="2" s="1"/>
  <c r="A7" i="2" s="1"/>
  <c r="A8" i="2" s="1"/>
  <c r="A9" i="2" s="1"/>
  <c r="A10" i="2" s="1"/>
  <c r="A11" i="2" s="1"/>
  <c r="A12" i="2" s="1"/>
  <c r="A13" i="2" l="1"/>
  <c r="A14" i="2" s="1"/>
  <c r="A15" i="2" s="1"/>
  <c r="A16" i="2" s="1"/>
  <c r="A17" i="2" s="1"/>
  <c r="A18" i="2" s="1"/>
  <c r="J10" i="2"/>
  <c r="K10" i="2" s="1"/>
  <c r="J11" i="2"/>
  <c r="K11" i="2" s="1"/>
  <c r="J12" i="2"/>
  <c r="K12" i="2" s="1"/>
  <c r="J13" i="2"/>
  <c r="K13" i="2" s="1"/>
  <c r="J14" i="2"/>
  <c r="K14" i="2" s="1"/>
  <c r="J15" i="2"/>
  <c r="K15" i="2" s="1"/>
  <c r="J16" i="2"/>
  <c r="K16" i="2" s="1"/>
  <c r="J17" i="2"/>
  <c r="K17" i="2" s="1"/>
  <c r="J18" i="2"/>
  <c r="K18" i="2" s="1"/>
  <c r="J9" i="2"/>
  <c r="K9" i="2" s="1"/>
  <c r="B95" i="3" l="1"/>
  <c r="B96" i="3"/>
  <c r="C96" i="3" s="1"/>
  <c r="B97" i="3"/>
  <c r="C97" i="3"/>
  <c r="B98" i="3"/>
  <c r="C98" i="3"/>
  <c r="B99" i="3"/>
  <c r="C99" i="3"/>
  <c r="B100" i="3"/>
  <c r="C100" i="3"/>
  <c r="B101" i="3"/>
  <c r="C101" i="3"/>
  <c r="B102" i="3"/>
  <c r="C102" i="3"/>
  <c r="A3" i="1" l="1"/>
  <c r="A4" i="1" s="1"/>
  <c r="A5" i="1" s="1"/>
  <c r="A6" i="1" s="1"/>
  <c r="A7" i="1" s="1"/>
  <c r="A8" i="1" s="1"/>
  <c r="A9" i="1" s="1"/>
  <c r="A10" i="1" s="1"/>
  <c r="A11" i="1" s="1"/>
  <c r="A12" i="1" s="1"/>
  <c r="A13" i="1" s="1"/>
  <c r="A14" i="1" s="1"/>
  <c r="A15" i="1" s="1"/>
  <c r="A16" i="1" s="1"/>
  <c r="A17" i="1" s="1"/>
  <c r="A18" i="1" s="1"/>
  <c r="A19" i="1" s="1"/>
  <c r="A20" i="1" s="1"/>
  <c r="A21" i="1" s="1"/>
  <c r="A22" i="1" s="1"/>
</calcChain>
</file>

<file path=xl/sharedStrings.xml><?xml version="1.0" encoding="utf-8"?>
<sst xmlns="http://schemas.openxmlformats.org/spreadsheetml/2006/main" count="359" uniqueCount="167">
  <si>
    <t>#</t>
  </si>
  <si>
    <t>Projects</t>
  </si>
  <si>
    <t>Status</t>
  </si>
  <si>
    <t>Other</t>
  </si>
  <si>
    <t>Workmatec</t>
  </si>
  <si>
    <t>Active</t>
  </si>
  <si>
    <t>PM</t>
  </si>
  <si>
    <t>Dev</t>
  </si>
  <si>
    <t>QA</t>
  </si>
  <si>
    <t>Workmatec - Android</t>
  </si>
  <si>
    <t>Workmatec - Website</t>
  </si>
  <si>
    <t>China Mobile</t>
  </si>
  <si>
    <t>OMV</t>
  </si>
  <si>
    <t>IVAP Phase-I</t>
  </si>
  <si>
    <t>IVAP Phase-II</t>
  </si>
  <si>
    <t>IVAP Phase-III</t>
  </si>
  <si>
    <t>IVAP Phase-IV</t>
  </si>
  <si>
    <t>IVAP Phase-IV Ex</t>
  </si>
  <si>
    <t>IVAP Phase-V</t>
  </si>
  <si>
    <t>Proposed</t>
  </si>
  <si>
    <t>Air Headquarters</t>
  </si>
  <si>
    <t>DGDP</t>
  </si>
  <si>
    <t>IOM – Hcomms</t>
  </si>
  <si>
    <t>NesPak</t>
  </si>
  <si>
    <t>CCCM</t>
  </si>
  <si>
    <t>GoAssess</t>
  </si>
  <si>
    <t>IM4HC / AIMS</t>
  </si>
  <si>
    <t>GoAssess -  Android</t>
  </si>
  <si>
    <t>IM4HC / AIMS Android</t>
  </si>
  <si>
    <t>Workplains Website</t>
  </si>
  <si>
    <t>Participation Types:</t>
  </si>
  <si>
    <t>Muhammad Tayyab Amin</t>
  </si>
  <si>
    <t>Project</t>
  </si>
  <si>
    <t>Task Detail</t>
  </si>
  <si>
    <t>Closed</t>
  </si>
  <si>
    <t>In-Active</t>
  </si>
  <si>
    <t>In-Progress</t>
  </si>
  <si>
    <t>In-Planning</t>
  </si>
  <si>
    <t>On-Hold</t>
  </si>
  <si>
    <t>PM: Project Management</t>
  </si>
  <si>
    <t>Dev: Development of project</t>
  </si>
  <si>
    <t>QA: Black box testing of project</t>
  </si>
  <si>
    <t>High</t>
  </si>
  <si>
    <t>Medium</t>
  </si>
  <si>
    <t>Low</t>
  </si>
  <si>
    <t>Bilal Manzoor</t>
  </si>
  <si>
    <t>Nabil Manzoor</t>
  </si>
  <si>
    <t>Muhammad Bilal Arain</t>
  </si>
  <si>
    <t>Usama Javed</t>
  </si>
  <si>
    <t>Mohsin Asif</t>
  </si>
  <si>
    <t>Zahid Mustafa</t>
  </si>
  <si>
    <t>Muhammad Asghar</t>
  </si>
  <si>
    <t>Tahira Kousar</t>
  </si>
  <si>
    <t>Muhammad Afzal</t>
  </si>
  <si>
    <t>Monday</t>
  </si>
  <si>
    <t>Tuesday</t>
  </si>
  <si>
    <t>Wednesday</t>
  </si>
  <si>
    <t>Thursday</t>
  </si>
  <si>
    <t>Friday</t>
  </si>
  <si>
    <t>Saturday</t>
  </si>
  <si>
    <t>Sunday</t>
  </si>
  <si>
    <t>Priority</t>
  </si>
  <si>
    <t>%age Done</t>
  </si>
  <si>
    <t>Resource Name</t>
  </si>
  <si>
    <t>Task Lead</t>
  </si>
  <si>
    <t>Time Remaining</t>
  </si>
  <si>
    <t>Formula for 8 hours a day: =IF(DAY(H20)-DAY(G20)=0,8,((DAY(H20)-DAY(G20))+1)*8)</t>
  </si>
  <si>
    <t>If subtracting of two dates results in 0 then show 8 hours otherwise result will be added by one and multiplied by 8 because both the dates inclusive</t>
  </si>
  <si>
    <t>Total Time</t>
  </si>
  <si>
    <t>Start Date</t>
  </si>
  <si>
    <t>End Date</t>
  </si>
  <si>
    <t xml:space="preserve"> =IF(DATE(YEAR(H16),MONTH(H16),DAY(H16))-DATE(YEAR(G16),MONTH(G16),DAY(G16))=0,HOUR(H16)-HOUR(G16)&amp;" "&amp;"hours",(NETWORKDAYS.INTL(G16,H16,1)&amp;" "&amp;"days"))</t>
  </si>
  <si>
    <t>03-01-2014  9:00:00 AM --- 03-01-2014  6:00:00 PM</t>
  </si>
  <si>
    <t>03-01-2014  9:00:00 AM --- 01-02-2014  6:00:00 PM</t>
  </si>
  <si>
    <t xml:space="preserve"> =IF(TEXT(H16,"d-m-y")=TEXT(G16,"d-m-y"),HOUR(H16)-HOUR(G16)&amp;" "&amp;"hours",(NETWORKDAYS.INTL(G16,H16,1)&amp;" "&amp;"days"))</t>
  </si>
  <si>
    <t>If dates are equal then show difference of hours otherwise show net working days excluding Saturday and Sunday</t>
  </si>
  <si>
    <t>To show 8 hours a day</t>
  </si>
  <si>
    <t>NETWORKDAYS.INTL: Returns the number of whole workdays between two dates excluding weekdays and holidays. 1 means weekends of Saturday and Sunday.</t>
  </si>
  <si>
    <t xml:space="preserve"> =IF(NETWORKDAYS.INTL(G20,H20,1)=0,"Holiday",NETWORKDAYS.INTL(G20,H20,1) &amp; " " &amp; "day(s)")</t>
  </si>
  <si>
    <t xml:space="preserve"> =IF(NETWORKDAYS.INTL(G20,H20,1)=0,"Holiday",IF(TEXT(H20,"d-m-y")=TEXT(G20,"d-m-y"),HOUR(H20)-HOUR(G20)&amp;" "&amp;"hr",NETWORKDAYS.INTL(G20,H20) &amp; " " &amp; "dy"))</t>
  </si>
  <si>
    <t>Show number of days if not Saturday and Sunday</t>
  </si>
  <si>
    <t xml:space="preserve"> =LEFT(H20,LEN(H20)-2)</t>
  </si>
  <si>
    <t>1)</t>
  </si>
  <si>
    <t>2)</t>
  </si>
  <si>
    <t>3)</t>
  </si>
  <si>
    <t>HELPF OF WEEKDAY FORMULA</t>
  </si>
  <si>
    <t>Formual Used</t>
  </si>
  <si>
    <t xml:space="preserve"> =IF(OR(H22="",L22&lt;&gt;"In-Progress",I22="Holiday"),"",IF(DATE(YEAR(H22),MONTH(H22),DAY(H22))=TODAY(), HOUR(H22)-HOUR(NOW()) &amp; " " &amp; "hr", NETWORKDAYS.INTL(NOW(),H22,1)&amp;" "&amp;"dy"))</t>
  </si>
  <si>
    <t>If End Date and Today is same then show remaining time in hours using Hour() and Now() function</t>
  </si>
  <si>
    <t>If End Date is less then Today then show remaining time in days using NETWORKDAYS() and Now() function</t>
  </si>
  <si>
    <t>If End Date is empty OR work is not In-Progress OR column of Total Time shows Holiday then show empty text</t>
  </si>
  <si>
    <t>Get figure 12 by subtracting text of dy and hr</t>
  </si>
  <si>
    <t>e.g. "12 dy" OR "12 hr"</t>
  </si>
  <si>
    <r>
      <rPr>
        <u/>
        <sz val="11"/>
        <color theme="1"/>
        <rFont val="Calibri"/>
        <family val="2"/>
        <scheme val="minor"/>
      </rPr>
      <t>NETWORKDAYS.INTL</t>
    </r>
    <r>
      <rPr>
        <sz val="11"/>
        <color theme="1"/>
        <rFont val="Calibri"/>
        <family val="2"/>
        <scheme val="minor"/>
      </rPr>
      <t>: Returns the number of whole workdays between two dates excluding weekdays and holidays. 1 means weekends of Saturday and Sunday.</t>
    </r>
  </si>
  <si>
    <t>If both the dates are on Saturday or Sunday then show "Holiday" OR show number of hours if both the dates on same day OR show number of days if start and end dates are different</t>
  </si>
  <si>
    <t>FORMULAS LEARN DURING PREPARATION</t>
  </si>
  <si>
    <t>Formula of value will convert text in to number</t>
  </si>
  <si>
    <t>Formula of IsNumber will get whether value is numeric or not</t>
  </si>
  <si>
    <t>If first two characters from left are not a number then show text is black color</t>
  </si>
  <si>
    <t>If first character from left is - OR 0 then show text in red color</t>
  </si>
  <si>
    <t>If first character from left is number then show text in green color</t>
  </si>
  <si>
    <r>
      <rPr>
        <b/>
        <u/>
        <sz val="11"/>
        <color theme="1"/>
        <rFont val="Calibri"/>
        <family val="2"/>
        <scheme val="minor"/>
      </rPr>
      <t>1)</t>
    </r>
    <r>
      <rPr>
        <u/>
        <sz val="11"/>
        <color theme="1"/>
        <rFont val="Calibri"/>
        <family val="2"/>
        <scheme val="minor"/>
      </rPr>
      <t xml:space="preserve"> = NOT(ISNUMBER(VALUE(LEFT(J1,2))))</t>
    </r>
  </si>
  <si>
    <r>
      <rPr>
        <b/>
        <u/>
        <sz val="11"/>
        <color theme="1"/>
        <rFont val="Calibri"/>
        <family val="2"/>
        <scheme val="minor"/>
      </rPr>
      <t>2)</t>
    </r>
    <r>
      <rPr>
        <u/>
        <sz val="11"/>
        <color theme="1"/>
        <rFont val="Calibri"/>
        <family val="2"/>
        <scheme val="minor"/>
      </rPr>
      <t xml:space="preserve"> =OR(LEFT(J1,1)="-", LEFT(J1,1)="0")</t>
    </r>
  </si>
  <si>
    <r>
      <rPr>
        <b/>
        <u/>
        <sz val="11"/>
        <color theme="1"/>
        <rFont val="Calibri"/>
        <family val="2"/>
        <scheme val="minor"/>
      </rPr>
      <t>3)</t>
    </r>
    <r>
      <rPr>
        <u/>
        <sz val="11"/>
        <color theme="1"/>
        <rFont val="Calibri"/>
        <family val="2"/>
        <scheme val="minor"/>
      </rPr>
      <t xml:space="preserve"> =(ISNUMBER(VALUE(LEFT(J1,1))))</t>
    </r>
  </si>
  <si>
    <t>If first character from left is not - then show text in green color</t>
  </si>
  <si>
    <r>
      <rPr>
        <b/>
        <sz val="11"/>
        <color theme="1"/>
        <rFont val="Calibri"/>
        <family val="2"/>
        <scheme val="minor"/>
      </rPr>
      <t>1)</t>
    </r>
    <r>
      <rPr>
        <sz val="11"/>
        <color theme="1"/>
        <rFont val="Calibri"/>
        <family val="2"/>
        <scheme val="minor"/>
      </rPr>
      <t xml:space="preserve"> =OR(LEFT(J2,1)="-", LEFT(J2,1)="0")</t>
    </r>
  </si>
  <si>
    <r>
      <rPr>
        <b/>
        <sz val="11"/>
        <color theme="1"/>
        <rFont val="Calibri"/>
        <family val="2"/>
        <scheme val="minor"/>
      </rPr>
      <t>2)</t>
    </r>
    <r>
      <rPr>
        <sz val="11"/>
        <color theme="1"/>
        <rFont val="Calibri"/>
        <family val="2"/>
        <scheme val="minor"/>
      </rPr>
      <t xml:space="preserve"> =LEFT(J2,1)&lt;&gt;"-"</t>
    </r>
  </si>
  <si>
    <t>Rules for full column</t>
  </si>
  <si>
    <t>Create following three rules in same order otherwise they will not show correct formatting.</t>
  </si>
  <si>
    <t>Create following two rules in same order otherwise they will not show correct formatting.</t>
  </si>
  <si>
    <t>Rules are for selected cells.</t>
  </si>
  <si>
    <t>Comments</t>
  </si>
  <si>
    <t>Delivered</t>
  </si>
  <si>
    <t>Accepted</t>
  </si>
  <si>
    <t>Dev, QA</t>
  </si>
  <si>
    <t>Edit form changes for call center.</t>
  </si>
  <si>
    <t>Clearing Tool</t>
  </si>
  <si>
    <t>Assistance Tracking Tool</t>
  </si>
  <si>
    <t>Merged Indicators</t>
  </si>
  <si>
    <t>Cancelled</t>
  </si>
  <si>
    <t>Revised</t>
  </si>
  <si>
    <t>Project Status</t>
  </si>
  <si>
    <t>=OR(C2="Proposed",C2="In-Planning",C2="In-Progress",C2="Delivered") Blue font color</t>
  </si>
  <si>
    <t>=OR(C2="Accepted",C2="Cancelled",C2="Revised") Green font color</t>
  </si>
  <si>
    <t>=OR(C2="On-Hold") Grey background and white font color</t>
  </si>
  <si>
    <t>Task Status</t>
  </si>
  <si>
    <t>=OR(C2="In-Progress",C2="Delivered") Blue font color</t>
  </si>
  <si>
    <t>Process: PR Process – Auto Cancellation
Description: Enhancements</t>
  </si>
  <si>
    <t>Process: PO Order Cancellation
Description: To ensure that all Purchase Order Cancellation should be processed through BPMS/System. This enhancement also provides online cancellation approval, visibility of budget utilization and reversal of budget from respective purchase order.</t>
  </si>
  <si>
    <t>Description: Data management forms</t>
  </si>
  <si>
    <t>Process: BPMS Regional Changes in PR Process
Description: To enhance the BPMS portal to accommodate the changes required for regional empowerment.</t>
  </si>
  <si>
    <t>Process: Changes in PO Cancellation
Description: Changes in forms, reports and email format</t>
  </si>
  <si>
    <t xml:space="preserve">Process: Changes in PR process for the regional split of GLs
Description: To include regional limit on budget disbursement and control in BPMS. The budget is currently controlled via GL code, cost centre and A2 code. Need to add regional check to that status so that regional split of GLs can be made. </t>
  </si>
  <si>
    <t>Following two formulas will be used when task status is set to revised and moved to new row with new completetion dates. These will be used in Comments column.</t>
  </si>
  <si>
    <t xml:space="preserve"> =CONCATENATE("Moved to Sr # ", ROW(A1)-1)</t>
  </si>
  <si>
    <t xml:space="preserve"> =CONCATENATE("Moved from Sr # ", ROW(A1)-1)</t>
  </si>
  <si>
    <t>ZONG CONTRACT 500 HOURS - PO NO. 048565 dated 30 July 2013</t>
  </si>
  <si>
    <t>Hours Agreed</t>
  </si>
  <si>
    <t>Running Balance</t>
  </si>
  <si>
    <t xml:space="preserve"> Status</t>
  </si>
  <si>
    <t>Live Date</t>
  </si>
  <si>
    <t>Invoice Status</t>
  </si>
  <si>
    <t>Invoice Date</t>
  </si>
  <si>
    <t>Cleared</t>
  </si>
  <si>
    <t>13 BPMS Services (CMPak) Consolidated - PO OC</t>
  </si>
  <si>
    <t>Delivered/Pending</t>
  </si>
  <si>
    <t>13 BPMS Services (CMPak) Consolidated - Forms</t>
  </si>
  <si>
    <t>13 BPMS Services (CMPak) Consolidated - PR AC</t>
  </si>
  <si>
    <t>Dev completed</t>
  </si>
  <si>
    <t>Not Generated</t>
  </si>
  <si>
    <t>16 Regional Changes in PR Process</t>
  </si>
  <si>
    <t>Document Reference</t>
  </si>
  <si>
    <t>15 PO Cancellation</t>
  </si>
  <si>
    <t>14 Regional Changes in PR Process</t>
  </si>
  <si>
    <t>11 PR, OPEX Report</t>
  </si>
  <si>
    <t>8 PO Line Auto Up dation &amp; Confirmation Windows</t>
  </si>
  <si>
    <t>9 TAF Process</t>
  </si>
  <si>
    <t>Total hours of work received</t>
  </si>
  <si>
    <t xml:space="preserve"> =D4&lt;=($D$3*20/100)</t>
  </si>
  <si>
    <t>When 80% of work hours received then highlight with red color in Running Balance column.</t>
  </si>
  <si>
    <t>TOTAL TIME FORMULA - TASKS DETAIL SHEET</t>
  </si>
  <si>
    <t>TIME REMAINING FORMULA - TASKS DETAIL SHEET</t>
  </si>
  <si>
    <t>FORMULA REVISED STATUS OF TASK -  TASKS DETAIL SHEET COMMENTS COLUMN</t>
  </si>
  <si>
    <t>CONDITIONAL FORMATTING - TIME REMAINING - TASKS DETAIL SHEET</t>
  </si>
  <si>
    <t>CONDITIONAL FORMATTING - PROJECT/TASK STATUS - TASKS DETAIL SHEET</t>
  </si>
  <si>
    <t>CONDITIONAL FORMATTING - CHINA MOBILE SHEET RUNNING BALANCE</t>
  </si>
  <si>
    <t>Additional Resource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</si>
</sst>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mmm/yy\ hh:mm\ AM/PM"/>
    <numFmt numFmtId="165" formatCode="[hh]\ &quot;hours&quot;"/>
    <numFmt numFmtId="166" formatCode="[$-409]d/mmm/yy;@"/>
    <numFmt numFmtId="167" formatCode="dd/mmm/yyyy"/>
  </numFmts>
  <fonts count="8" x14ac:knownFonts="1">
    <font>
      <sz val="11"/>
      <color theme="1"/>
      <name val="Calibri"/>
      <family val="2"/>
      <scheme val="minor"/>
    </font>
    <font>
      <b/>
      <sz val="12"/>
      <color theme="1"/>
      <name val="Calibri"/>
      <family val="2"/>
      <scheme val="minor"/>
    </font>
    <font>
      <sz val="12"/>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sz val="12"/>
      <color rgb="FF0000FF"/>
      <name val="Calibri"/>
      <family val="2"/>
      <scheme val="minor"/>
    </font>
    <font>
      <sz val="12"/>
      <color rgb="FF0000FF"/>
      <name val="Calibri"/>
      <family val="2"/>
      <scheme val="minor"/>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2">
    <xf numFmtId="0" fontId="0" fillId="0" borderId="0" xfId="0"/>
    <xf numFmtId="0" fontId="1"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0" fillId="0" borderId="0" xfId="0" applyAlignment="1">
      <alignment horizontal="left"/>
    </xf>
    <xf numFmtId="0" fontId="1" fillId="0" borderId="0" xfId="0" applyFont="1" applyAlignment="1">
      <alignment vertical="center"/>
    </xf>
    <xf numFmtId="0" fontId="2" fillId="0" borderId="0" xfId="0" applyFont="1" applyAlignment="1">
      <alignment vertical="center"/>
    </xf>
    <xf numFmtId="0" fontId="0" fillId="2" borderId="0" xfId="0" applyFill="1"/>
    <xf numFmtId="0" fontId="0" fillId="0" borderId="0" xfId="0" applyFill="1"/>
    <xf numFmtId="1" fontId="2" fillId="0" borderId="1" xfId="0" applyNumberFormat="1" applyFont="1" applyBorder="1" applyAlignment="1">
      <alignment horizontal="center" vertical="center" wrapText="1"/>
    </xf>
    <xf numFmtId="164" fontId="2" fillId="0" borderId="1" xfId="0" applyNumberFormat="1" applyFont="1" applyBorder="1" applyAlignment="1">
      <alignment horizontal="center" vertical="center" wrapText="1"/>
    </xf>
    <xf numFmtId="0" fontId="2" fillId="0" borderId="3" xfId="0" applyFont="1" applyBorder="1" applyAlignment="1">
      <alignment horizontal="left" vertical="center" wrapText="1"/>
    </xf>
    <xf numFmtId="165" fontId="2" fillId="0" borderId="3" xfId="0" applyNumberFormat="1" applyFont="1" applyBorder="1" applyAlignment="1">
      <alignment horizontal="center" vertical="center" wrapText="1"/>
    </xf>
    <xf numFmtId="0" fontId="0" fillId="0" borderId="1" xfId="0" applyBorder="1"/>
    <xf numFmtId="0" fontId="2" fillId="0" borderId="1" xfId="0" applyNumberFormat="1" applyFont="1" applyBorder="1" applyAlignment="1">
      <alignment horizontal="center" vertical="center" wrapText="1"/>
    </xf>
    <xf numFmtId="22" fontId="0" fillId="0" borderId="0" xfId="0" applyNumberFormat="1"/>
    <xf numFmtId="0" fontId="3" fillId="0" borderId="0" xfId="0" applyFont="1"/>
    <xf numFmtId="0" fontId="4" fillId="0" borderId="0" xfId="0" applyFont="1"/>
    <xf numFmtId="0" fontId="2" fillId="0" borderId="0" xfId="0" applyNumberFormat="1" applyFont="1" applyBorder="1" applyAlignment="1">
      <alignment horizontal="center" vertical="center" wrapText="1"/>
    </xf>
    <xf numFmtId="0" fontId="2" fillId="0" borderId="2" xfId="0" applyNumberFormat="1" applyFont="1" applyBorder="1" applyAlignment="1">
      <alignment horizontal="center" vertical="center" wrapText="1"/>
    </xf>
    <xf numFmtId="166" fontId="2" fillId="0" borderId="2" xfId="0" applyNumberFormat="1" applyFont="1" applyBorder="1" applyAlignment="1">
      <alignment horizontal="center" vertical="center" wrapText="1"/>
    </xf>
    <xf numFmtId="166" fontId="2" fillId="0" borderId="1" xfId="0" applyNumberFormat="1" applyFont="1" applyBorder="1" applyAlignment="1">
      <alignment horizontal="center" vertical="center" wrapText="1"/>
    </xf>
    <xf numFmtId="166" fontId="2" fillId="0" borderId="0" xfId="0" applyNumberFormat="1" applyFont="1" applyBorder="1" applyAlignment="1">
      <alignment horizontal="center" vertical="center" wrapText="1"/>
    </xf>
    <xf numFmtId="0" fontId="0" fillId="0" borderId="0" xfId="0" applyBorder="1"/>
    <xf numFmtId="0" fontId="0" fillId="2" borderId="0" xfId="0" applyFont="1" applyFill="1"/>
    <xf numFmtId="0" fontId="0" fillId="0" borderId="0" xfId="0" applyFont="1"/>
    <xf numFmtId="0" fontId="5" fillId="0" borderId="0" xfId="0" applyFont="1"/>
    <xf numFmtId="167" fontId="2" fillId="0" borderId="1" xfId="0" applyNumberFormat="1" applyFont="1" applyBorder="1" applyAlignment="1">
      <alignment horizontal="center" vertical="center" wrapText="1"/>
    </xf>
    <xf numFmtId="0" fontId="2" fillId="0" borderId="0" xfId="0" applyFont="1" applyBorder="1" applyAlignment="1">
      <alignment horizontal="center" vertical="center" wrapText="1"/>
    </xf>
    <xf numFmtId="0" fontId="2" fillId="0" borderId="0" xfId="0" applyFont="1" applyBorder="1" applyAlignment="1">
      <alignment horizontal="left" vertical="center" wrapText="1"/>
    </xf>
    <xf numFmtId="167" fontId="2" fillId="0" borderId="0" xfId="0" applyNumberFormat="1" applyFont="1" applyBorder="1" applyAlignment="1">
      <alignment horizontal="center" vertical="center" wrapText="1"/>
    </xf>
    <xf numFmtId="165" fontId="2" fillId="0" borderId="1" xfId="0" applyNumberFormat="1" applyFont="1" applyBorder="1" applyAlignment="1">
      <alignment horizontal="center" vertical="center" wrapText="1"/>
    </xf>
    <xf numFmtId="0" fontId="2" fillId="2" borderId="1" xfId="0" applyFont="1" applyFill="1" applyBorder="1" applyAlignment="1">
      <alignment horizontal="left" vertical="center" wrapText="1"/>
    </xf>
    <xf numFmtId="0" fontId="2" fillId="0" borderId="1" xfId="0" applyFont="1" applyFill="1" applyBorder="1" applyAlignment="1">
      <alignment horizontal="left" vertical="center" wrapText="1"/>
    </xf>
    <xf numFmtId="0" fontId="2" fillId="0" borderId="3" xfId="0" applyFont="1" applyFill="1" applyBorder="1" applyAlignment="1">
      <alignment horizontal="left" vertical="center" wrapText="1"/>
    </xf>
    <xf numFmtId="0" fontId="1" fillId="0" borderId="1" xfId="0" applyFont="1" applyBorder="1" applyAlignment="1">
      <alignment horizontal="center"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167" fontId="2" fillId="0" borderId="1" xfId="0" applyNumberFormat="1" applyFont="1" applyBorder="1" applyAlignment="1">
      <alignment horizontal="center" vertical="center"/>
    </xf>
    <xf numFmtId="0" fontId="2" fillId="0" borderId="0" xfId="0" applyFont="1"/>
    <xf numFmtId="0" fontId="1" fillId="0" borderId="1" xfId="0" applyFont="1" applyBorder="1" applyAlignment="1">
      <alignment horizontal="left" vertical="center"/>
    </xf>
    <xf numFmtId="0" fontId="1" fillId="0" borderId="1" xfId="0" applyFont="1" applyBorder="1" applyAlignment="1">
      <alignment horizontal="right" vertical="center"/>
    </xf>
    <xf numFmtId="167" fontId="1" fillId="0" borderId="1" xfId="0" applyNumberFormat="1" applyFont="1" applyBorder="1" applyAlignment="1">
      <alignment horizontal="center" vertical="center"/>
    </xf>
    <xf numFmtId="0" fontId="2" fillId="0" borderId="4" xfId="0" applyFont="1" applyFill="1" applyBorder="1" applyAlignment="1">
      <alignment vertical="center"/>
    </xf>
    <xf numFmtId="0" fontId="2" fillId="0" borderId="5" xfId="0" applyFont="1" applyFill="1" applyBorder="1" applyAlignment="1">
      <alignment vertical="center"/>
    </xf>
    <xf numFmtId="0" fontId="2" fillId="0" borderId="6" xfId="0" applyFont="1" applyFill="1" applyBorder="1" applyAlignment="1">
      <alignment vertical="center"/>
    </xf>
    <xf numFmtId="0" fontId="6" fillId="2" borderId="1" xfId="0" applyFont="1" applyFill="1" applyBorder="1" applyAlignment="1">
      <alignment horizontal="center" vertical="center"/>
    </xf>
    <xf numFmtId="0" fontId="7" fillId="0" borderId="1" xfId="0" applyFont="1" applyBorder="1" applyAlignment="1">
      <alignment horizontal="center" vertical="center"/>
    </xf>
    <xf numFmtId="0" fontId="0" fillId="0" borderId="0" xfId="0" applyFont="1" applyFill="1"/>
    <xf numFmtId="0" fontId="2" fillId="0" borderId="3" xfId="0" applyFont="1" applyBorder="1" applyAlignment="1">
      <alignment horizontal="center" vertical="center" wrapText="1"/>
    </xf>
    <xf numFmtId="0" fontId="2" fillId="2" borderId="3" xfId="0" applyFont="1" applyFill="1" applyBorder="1" applyAlignment="1">
      <alignment horizontal="left" vertical="center" wrapText="1"/>
    </xf>
    <xf numFmtId="164" fontId="2" fillId="0" borderId="3" xfId="0" applyNumberFormat="1" applyFont="1" applyBorder="1" applyAlignment="1">
      <alignment horizontal="center" vertical="center" wrapText="1"/>
    </xf>
    <xf numFmtId="1" fontId="2" fillId="0" borderId="3" xfId="0" applyNumberFormat="1" applyFont="1" applyBorder="1" applyAlignment="1">
      <alignment horizontal="center" vertical="center" wrapText="1"/>
    </xf>
    <xf numFmtId="0" fontId="1" fillId="0" borderId="10"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2" xfId="0" applyFont="1" applyBorder="1" applyAlignment="1">
      <alignment horizontal="center" vertical="center" wrapText="1"/>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cellXfs>
  <cellStyles count="1">
    <cellStyle name="Normal" xfId="0" builtinId="0"/>
  </cellStyles>
  <dxfs count="13">
    <dxf>
      <font>
        <color rgb="FF0000FF"/>
      </font>
    </dxf>
    <dxf>
      <font>
        <color rgb="FF00B050"/>
      </font>
    </dxf>
    <dxf>
      <font>
        <color theme="0"/>
      </font>
      <fill>
        <patternFill>
          <bgColor theme="0" tint="-0.499984740745262"/>
        </patternFill>
      </fill>
    </dxf>
    <dxf>
      <font>
        <color rgb="FF00B050"/>
      </font>
    </dxf>
    <dxf>
      <font>
        <color rgb="FFFF0000"/>
      </font>
    </dxf>
    <dxf>
      <font>
        <color rgb="FF00B050"/>
      </font>
    </dxf>
    <dxf>
      <font>
        <color rgb="FF0000FF"/>
      </font>
    </dxf>
    <dxf>
      <font>
        <color rgb="FF00B050"/>
      </font>
    </dxf>
    <dxf>
      <font>
        <color rgb="FF0000FF"/>
      </font>
    </dxf>
    <dxf>
      <font>
        <color rgb="FFFF0000"/>
      </font>
      <fill>
        <patternFill patternType="none">
          <bgColor auto="1"/>
        </patternFill>
      </fill>
    </dxf>
    <dxf>
      <font>
        <color rgb="FF0000FF"/>
      </font>
    </dxf>
    <dxf>
      <font>
        <color rgb="FF00B050"/>
      </font>
    </dxf>
    <dxf>
      <font>
        <color theme="0"/>
      </font>
      <fill>
        <patternFill>
          <bgColor theme="0" tint="-0.499984740745262"/>
        </patternFill>
      </fill>
    </dxf>
  </dxfs>
  <tableStyles count="0" defaultTableStyle="TableStyleMedium2" defaultPivotStyle="PivotStyleMedium9"/>
  <colors>
    <mruColors>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8"/>
  <sheetViews>
    <sheetView showGridLines="0" tabSelected="1" workbookViewId="0"/>
  </sheetViews>
  <sheetFormatPr defaultRowHeight="15" customHeight="1" x14ac:dyDescent="0.25"/>
  <cols>
    <col min="1" max="1" width="6.28515625" customWidth="1"/>
    <col min="2" max="2" width="22.140625" style="4" bestFit="1" customWidth="1"/>
    <col min="3" max="3" width="11.42578125" style="4" bestFit="1" customWidth="1"/>
    <col min="4" max="5" width="12.5703125" bestFit="1" customWidth="1"/>
    <col min="6" max="6" width="14.5703125" bestFit="1" customWidth="1"/>
    <col min="7" max="7" width="20.42578125" bestFit="1" customWidth="1"/>
    <col min="8" max="8" width="13.5703125" bestFit="1" customWidth="1"/>
    <col min="9" max="9" width="15.140625" bestFit="1" customWidth="1"/>
    <col min="10" max="10" width="26.7109375" bestFit="1" customWidth="1"/>
    <col min="11" max="11" width="12.42578125" bestFit="1" customWidth="1"/>
    <col min="12" max="12" width="14.5703125" bestFit="1" customWidth="1"/>
    <col min="13" max="13" width="6.7109375" bestFit="1" customWidth="1"/>
  </cols>
  <sheetData>
    <row r="1" spans="1:13" ht="15" customHeight="1" x14ac:dyDescent="0.25">
      <c r="A1" s="1" t="s">
        <v>0</v>
      </c>
      <c r="B1" s="1" t="s">
        <v>1</v>
      </c>
      <c r="C1" s="1" t="s">
        <v>2</v>
      </c>
      <c r="D1" s="1" t="s">
        <v>69</v>
      </c>
      <c r="E1" s="1" t="s">
        <v>70</v>
      </c>
      <c r="F1" s="1" t="s">
        <v>45</v>
      </c>
      <c r="G1" s="1" t="s">
        <v>51</v>
      </c>
      <c r="H1" s="1" t="s">
        <v>48</v>
      </c>
      <c r="I1" s="1" t="s">
        <v>50</v>
      </c>
      <c r="J1" s="1" t="s">
        <v>31</v>
      </c>
      <c r="K1" s="1" t="s">
        <v>49</v>
      </c>
      <c r="L1" s="1" t="s">
        <v>52</v>
      </c>
      <c r="M1" s="1" t="s">
        <v>3</v>
      </c>
    </row>
    <row r="2" spans="1:13" ht="15" customHeight="1" x14ac:dyDescent="0.25">
      <c r="A2" s="2">
        <v>1</v>
      </c>
      <c r="B2" s="3" t="s">
        <v>4</v>
      </c>
      <c r="C2" s="3" t="s">
        <v>36</v>
      </c>
      <c r="D2" s="27"/>
      <c r="E2" s="27"/>
      <c r="F2" s="2" t="s">
        <v>6</v>
      </c>
      <c r="G2" s="2" t="s">
        <v>7</v>
      </c>
      <c r="H2" s="2"/>
      <c r="I2" s="2" t="s">
        <v>7</v>
      </c>
      <c r="J2" s="2"/>
      <c r="K2" s="2"/>
      <c r="L2" s="2" t="s">
        <v>8</v>
      </c>
      <c r="M2" s="2"/>
    </row>
    <row r="3" spans="1:13" ht="15" customHeight="1" x14ac:dyDescent="0.25">
      <c r="A3" s="2">
        <f>+A2+1</f>
        <v>2</v>
      </c>
      <c r="B3" s="3" t="s">
        <v>9</v>
      </c>
      <c r="C3" s="3" t="s">
        <v>36</v>
      </c>
      <c r="D3" s="27"/>
      <c r="E3" s="27"/>
      <c r="F3" s="2" t="s">
        <v>6</v>
      </c>
      <c r="G3" s="2"/>
      <c r="H3" s="2"/>
      <c r="I3" s="2"/>
      <c r="J3" s="2" t="s">
        <v>7</v>
      </c>
      <c r="K3" s="2"/>
      <c r="L3" s="2"/>
      <c r="M3" s="2"/>
    </row>
    <row r="4" spans="1:13" ht="15" customHeight="1" x14ac:dyDescent="0.25">
      <c r="A4" s="2">
        <f t="shared" ref="A4:A22" si="0">+A3+1</f>
        <v>3</v>
      </c>
      <c r="B4" s="3" t="s">
        <v>10</v>
      </c>
      <c r="C4" s="3" t="s">
        <v>36</v>
      </c>
      <c r="D4" s="27"/>
      <c r="E4" s="27"/>
      <c r="F4" s="2" t="s">
        <v>6</v>
      </c>
      <c r="G4" s="2"/>
      <c r="H4" s="2"/>
      <c r="I4" s="2"/>
      <c r="J4" s="2"/>
      <c r="K4" s="2" t="s">
        <v>7</v>
      </c>
      <c r="L4" s="2"/>
      <c r="M4" s="2"/>
    </row>
    <row r="5" spans="1:13" ht="15" customHeight="1" x14ac:dyDescent="0.25">
      <c r="A5" s="2">
        <f t="shared" si="0"/>
        <v>4</v>
      </c>
      <c r="B5" s="3" t="s">
        <v>11</v>
      </c>
      <c r="C5" s="3" t="s">
        <v>36</v>
      </c>
      <c r="D5" s="27"/>
      <c r="E5" s="27"/>
      <c r="F5" s="2" t="s">
        <v>6</v>
      </c>
      <c r="G5" s="2" t="s">
        <v>7</v>
      </c>
      <c r="H5" s="2"/>
      <c r="I5" s="2" t="s">
        <v>7</v>
      </c>
      <c r="J5" s="2"/>
      <c r="K5" s="2"/>
      <c r="L5" s="2"/>
      <c r="M5" s="2"/>
    </row>
    <row r="6" spans="1:13" ht="15" customHeight="1" x14ac:dyDescent="0.25">
      <c r="A6" s="2">
        <f t="shared" si="0"/>
        <v>5</v>
      </c>
      <c r="B6" s="3" t="s">
        <v>12</v>
      </c>
      <c r="C6" s="3" t="s">
        <v>36</v>
      </c>
      <c r="D6" s="27"/>
      <c r="E6" s="27"/>
      <c r="F6" s="2" t="s">
        <v>6</v>
      </c>
      <c r="G6" s="2" t="s">
        <v>7</v>
      </c>
      <c r="H6" s="2"/>
      <c r="I6" s="2"/>
      <c r="J6" s="2"/>
      <c r="K6" s="2"/>
      <c r="L6" s="2"/>
      <c r="M6" s="2"/>
    </row>
    <row r="7" spans="1:13" ht="15" customHeight="1" x14ac:dyDescent="0.25">
      <c r="A7" s="2">
        <f t="shared" si="0"/>
        <v>6</v>
      </c>
      <c r="B7" s="3" t="s">
        <v>13</v>
      </c>
      <c r="C7" s="3" t="s">
        <v>113</v>
      </c>
      <c r="D7" s="27"/>
      <c r="E7" s="27"/>
      <c r="F7" s="2" t="s">
        <v>6</v>
      </c>
      <c r="G7" s="2" t="s">
        <v>7</v>
      </c>
      <c r="H7" s="2"/>
      <c r="I7" s="2"/>
      <c r="J7" s="2"/>
      <c r="K7" s="2"/>
      <c r="L7" s="2"/>
      <c r="M7" s="2" t="s">
        <v>7</v>
      </c>
    </row>
    <row r="8" spans="1:13" ht="15" customHeight="1" x14ac:dyDescent="0.25">
      <c r="A8" s="2">
        <f t="shared" si="0"/>
        <v>7</v>
      </c>
      <c r="B8" s="3" t="s">
        <v>14</v>
      </c>
      <c r="C8" s="3" t="s">
        <v>113</v>
      </c>
      <c r="D8" s="27"/>
      <c r="E8" s="27"/>
      <c r="F8" s="2" t="s">
        <v>6</v>
      </c>
      <c r="G8" s="2" t="s">
        <v>7</v>
      </c>
      <c r="H8" s="2"/>
      <c r="I8" s="2"/>
      <c r="J8" s="2"/>
      <c r="K8" s="2"/>
      <c r="L8" s="2"/>
      <c r="M8" s="2" t="s">
        <v>7</v>
      </c>
    </row>
    <row r="9" spans="1:13" ht="15" customHeight="1" x14ac:dyDescent="0.25">
      <c r="A9" s="2">
        <f t="shared" si="0"/>
        <v>8</v>
      </c>
      <c r="B9" s="3" t="s">
        <v>15</v>
      </c>
      <c r="C9" s="3" t="s">
        <v>113</v>
      </c>
      <c r="D9" s="27"/>
      <c r="E9" s="27"/>
      <c r="F9" s="2" t="s">
        <v>6</v>
      </c>
      <c r="G9" s="2" t="s">
        <v>7</v>
      </c>
      <c r="H9" s="2"/>
      <c r="I9" s="2"/>
      <c r="J9" s="2"/>
      <c r="K9" s="2"/>
      <c r="L9" s="2"/>
      <c r="M9" s="2" t="s">
        <v>7</v>
      </c>
    </row>
    <row r="10" spans="1:13" ht="15" customHeight="1" x14ac:dyDescent="0.25">
      <c r="A10" s="2">
        <f t="shared" si="0"/>
        <v>9</v>
      </c>
      <c r="B10" s="3" t="s">
        <v>16</v>
      </c>
      <c r="C10" s="3" t="s">
        <v>113</v>
      </c>
      <c r="D10" s="27"/>
      <c r="E10" s="27"/>
      <c r="F10" s="2" t="s">
        <v>6</v>
      </c>
      <c r="G10" s="2" t="s">
        <v>7</v>
      </c>
      <c r="H10" s="2" t="s">
        <v>7</v>
      </c>
      <c r="I10" s="2" t="s">
        <v>7</v>
      </c>
      <c r="J10" s="2"/>
      <c r="K10" s="2" t="s">
        <v>114</v>
      </c>
      <c r="L10" s="2" t="s">
        <v>8</v>
      </c>
      <c r="M10" s="2"/>
    </row>
    <row r="11" spans="1:13" ht="15" customHeight="1" x14ac:dyDescent="0.25">
      <c r="A11" s="2">
        <f t="shared" si="0"/>
        <v>10</v>
      </c>
      <c r="B11" s="3" t="s">
        <v>17</v>
      </c>
      <c r="C11" s="3" t="s">
        <v>36</v>
      </c>
      <c r="D11" s="27"/>
      <c r="E11" s="27"/>
      <c r="F11" s="2" t="s">
        <v>6</v>
      </c>
      <c r="G11" s="2" t="s">
        <v>7</v>
      </c>
      <c r="H11" s="2" t="s">
        <v>7</v>
      </c>
      <c r="I11" s="2" t="s">
        <v>7</v>
      </c>
      <c r="J11" s="2"/>
      <c r="K11" s="2" t="s">
        <v>114</v>
      </c>
      <c r="L11" s="2" t="s">
        <v>8</v>
      </c>
      <c r="M11" s="2"/>
    </row>
    <row r="12" spans="1:13" ht="15" customHeight="1" x14ac:dyDescent="0.25">
      <c r="A12" s="2">
        <f t="shared" si="0"/>
        <v>11</v>
      </c>
      <c r="B12" s="3" t="s">
        <v>18</v>
      </c>
      <c r="C12" s="3" t="s">
        <v>19</v>
      </c>
      <c r="D12" s="27"/>
      <c r="E12" s="27"/>
      <c r="F12" s="2" t="s">
        <v>6</v>
      </c>
      <c r="G12" s="2"/>
      <c r="H12" s="2"/>
      <c r="I12" s="2"/>
      <c r="J12" s="2"/>
      <c r="K12" s="2"/>
      <c r="L12" s="2"/>
      <c r="M12" s="2"/>
    </row>
    <row r="13" spans="1:13" ht="15" customHeight="1" x14ac:dyDescent="0.25">
      <c r="A13" s="2">
        <f t="shared" si="0"/>
        <v>12</v>
      </c>
      <c r="B13" s="3" t="s">
        <v>20</v>
      </c>
      <c r="C13" s="3" t="s">
        <v>113</v>
      </c>
      <c r="D13" s="27"/>
      <c r="E13" s="27"/>
      <c r="F13" s="2" t="s">
        <v>6</v>
      </c>
      <c r="G13" s="2" t="s">
        <v>7</v>
      </c>
      <c r="H13" s="2"/>
      <c r="I13" s="2"/>
      <c r="J13" s="2"/>
      <c r="K13" s="2"/>
      <c r="L13" s="2"/>
      <c r="M13" s="2"/>
    </row>
    <row r="14" spans="1:13" ht="15" customHeight="1" x14ac:dyDescent="0.25">
      <c r="A14" s="2">
        <f t="shared" si="0"/>
        <v>13</v>
      </c>
      <c r="B14" s="3" t="s">
        <v>21</v>
      </c>
      <c r="C14" s="3" t="s">
        <v>113</v>
      </c>
      <c r="D14" s="27"/>
      <c r="E14" s="27"/>
      <c r="F14" s="2" t="s">
        <v>6</v>
      </c>
      <c r="G14" s="2" t="s">
        <v>7</v>
      </c>
      <c r="H14" s="2"/>
      <c r="I14" s="2"/>
      <c r="J14" s="2"/>
      <c r="K14" s="2"/>
      <c r="L14" s="2"/>
      <c r="M14" s="2"/>
    </row>
    <row r="15" spans="1:13" ht="15" customHeight="1" x14ac:dyDescent="0.25">
      <c r="A15" s="2">
        <f t="shared" si="0"/>
        <v>14</v>
      </c>
      <c r="B15" s="3" t="s">
        <v>22</v>
      </c>
      <c r="C15" s="3" t="s">
        <v>113</v>
      </c>
      <c r="D15" s="27"/>
      <c r="E15" s="27"/>
      <c r="F15" s="2" t="s">
        <v>6</v>
      </c>
      <c r="G15" s="2"/>
      <c r="H15" s="2"/>
      <c r="I15" s="2"/>
      <c r="J15" s="2"/>
      <c r="K15" s="2"/>
      <c r="L15" s="2"/>
      <c r="M15" s="2" t="s">
        <v>7</v>
      </c>
    </row>
    <row r="16" spans="1:13" ht="15" customHeight="1" x14ac:dyDescent="0.25">
      <c r="A16" s="2">
        <f t="shared" si="0"/>
        <v>15</v>
      </c>
      <c r="B16" s="3" t="s">
        <v>23</v>
      </c>
      <c r="C16" s="3" t="s">
        <v>113</v>
      </c>
      <c r="D16" s="27"/>
      <c r="E16" s="27"/>
      <c r="F16" s="2" t="s">
        <v>6</v>
      </c>
      <c r="G16" s="2"/>
      <c r="H16" s="2"/>
      <c r="I16" s="2"/>
      <c r="J16" s="2"/>
      <c r="K16" s="2"/>
      <c r="L16" s="2"/>
      <c r="M16" s="2" t="s">
        <v>7</v>
      </c>
    </row>
    <row r="17" spans="1:13" ht="15" customHeight="1" x14ac:dyDescent="0.25">
      <c r="A17" s="2">
        <f t="shared" si="0"/>
        <v>16</v>
      </c>
      <c r="B17" s="3" t="s">
        <v>24</v>
      </c>
      <c r="C17" s="3" t="s">
        <v>113</v>
      </c>
      <c r="D17" s="27"/>
      <c r="E17" s="27"/>
      <c r="F17" s="2" t="s">
        <v>6</v>
      </c>
      <c r="G17" s="2" t="s">
        <v>7</v>
      </c>
      <c r="H17" s="2"/>
      <c r="I17" s="2"/>
      <c r="J17" s="2"/>
      <c r="K17" s="2"/>
      <c r="L17" s="2"/>
      <c r="M17" s="2" t="s">
        <v>7</v>
      </c>
    </row>
    <row r="18" spans="1:13" ht="15" customHeight="1" x14ac:dyDescent="0.25">
      <c r="A18" s="2">
        <f t="shared" si="0"/>
        <v>17</v>
      </c>
      <c r="B18" s="3" t="s">
        <v>25</v>
      </c>
      <c r="C18" s="3" t="s">
        <v>38</v>
      </c>
      <c r="D18" s="27"/>
      <c r="E18" s="27"/>
      <c r="F18" s="2" t="s">
        <v>6</v>
      </c>
      <c r="G18" s="2" t="s">
        <v>7</v>
      </c>
      <c r="H18" s="2"/>
      <c r="I18" s="2"/>
      <c r="J18" s="2"/>
      <c r="K18" s="2"/>
      <c r="L18" s="2"/>
      <c r="M18" s="2" t="s">
        <v>7</v>
      </c>
    </row>
    <row r="19" spans="1:13" ht="15" customHeight="1" x14ac:dyDescent="0.25">
      <c r="A19" s="2">
        <f t="shared" si="0"/>
        <v>18</v>
      </c>
      <c r="B19" s="3" t="s">
        <v>26</v>
      </c>
      <c r="C19" s="3" t="s">
        <v>38</v>
      </c>
      <c r="D19" s="27"/>
      <c r="E19" s="27"/>
      <c r="F19" s="2" t="s">
        <v>6</v>
      </c>
      <c r="G19" s="2" t="s">
        <v>7</v>
      </c>
      <c r="H19" s="2"/>
      <c r="I19" s="2"/>
      <c r="J19" s="2"/>
      <c r="K19" s="2"/>
      <c r="L19" s="2"/>
      <c r="M19" s="2" t="s">
        <v>7</v>
      </c>
    </row>
    <row r="20" spans="1:13" ht="15" customHeight="1" x14ac:dyDescent="0.25">
      <c r="A20" s="2">
        <f t="shared" si="0"/>
        <v>19</v>
      </c>
      <c r="B20" s="3" t="s">
        <v>27</v>
      </c>
      <c r="C20" s="3" t="s">
        <v>38</v>
      </c>
      <c r="D20" s="27"/>
      <c r="E20" s="27"/>
      <c r="F20" s="2" t="s">
        <v>6</v>
      </c>
      <c r="G20" s="2"/>
      <c r="H20" s="2"/>
      <c r="I20" s="2"/>
      <c r="J20" s="2" t="s">
        <v>7</v>
      </c>
      <c r="K20" s="2"/>
      <c r="L20" s="2"/>
      <c r="M20" s="2" t="s">
        <v>7</v>
      </c>
    </row>
    <row r="21" spans="1:13" ht="15" customHeight="1" x14ac:dyDescent="0.25">
      <c r="A21" s="2">
        <f t="shared" si="0"/>
        <v>20</v>
      </c>
      <c r="B21" s="3" t="s">
        <v>28</v>
      </c>
      <c r="C21" s="3" t="s">
        <v>38</v>
      </c>
      <c r="D21" s="27"/>
      <c r="E21" s="27"/>
      <c r="F21" s="2" t="s">
        <v>6</v>
      </c>
      <c r="G21" s="2"/>
      <c r="H21" s="2"/>
      <c r="I21" s="2"/>
      <c r="J21" s="2" t="s">
        <v>7</v>
      </c>
      <c r="K21" s="2"/>
      <c r="L21" s="2"/>
      <c r="M21" s="2" t="s">
        <v>7</v>
      </c>
    </row>
    <row r="22" spans="1:13" ht="15" customHeight="1" x14ac:dyDescent="0.25">
      <c r="A22" s="2">
        <f t="shared" si="0"/>
        <v>21</v>
      </c>
      <c r="B22" s="3" t="s">
        <v>29</v>
      </c>
      <c r="C22" s="3" t="s">
        <v>36</v>
      </c>
      <c r="D22" s="27"/>
      <c r="E22" s="27"/>
      <c r="F22" s="2"/>
      <c r="G22" s="2"/>
      <c r="H22" s="2"/>
      <c r="I22" s="2"/>
      <c r="J22" s="2"/>
      <c r="K22" s="2" t="s">
        <v>7</v>
      </c>
      <c r="L22" s="2"/>
      <c r="M22" s="2"/>
    </row>
    <row r="23" spans="1:13" ht="15" customHeight="1" x14ac:dyDescent="0.25">
      <c r="A23" s="28"/>
      <c r="B23" s="29"/>
      <c r="C23" s="30"/>
      <c r="D23" s="30"/>
      <c r="E23" s="30"/>
      <c r="F23" s="28"/>
      <c r="G23" s="28"/>
      <c r="H23" s="28"/>
      <c r="I23" s="28"/>
      <c r="J23" s="28"/>
      <c r="K23" s="28"/>
      <c r="L23" s="28"/>
      <c r="M23" s="28"/>
    </row>
    <row r="24" spans="1:13" ht="15" customHeight="1" x14ac:dyDescent="0.25">
      <c r="A24" s="28"/>
      <c r="B24" s="29"/>
      <c r="C24" s="30"/>
      <c r="D24" s="30"/>
      <c r="E24" s="30"/>
      <c r="F24" s="28"/>
      <c r="G24" s="28"/>
      <c r="H24" s="28"/>
      <c r="I24" s="28"/>
      <c r="J24" s="28"/>
      <c r="K24" s="28"/>
      <c r="L24" s="28"/>
      <c r="M24" s="28"/>
    </row>
    <row r="25" spans="1:13" ht="15" customHeight="1" x14ac:dyDescent="0.25">
      <c r="A25" s="5" t="s">
        <v>30</v>
      </c>
      <c r="B25" s="29"/>
      <c r="C25" s="30"/>
      <c r="D25" s="30"/>
      <c r="E25" s="30"/>
      <c r="F25" s="28"/>
      <c r="G25" s="28"/>
      <c r="H25" s="28"/>
      <c r="I25" s="28"/>
      <c r="J25" s="28"/>
      <c r="K25" s="28"/>
      <c r="L25" s="28"/>
      <c r="M25" s="28"/>
    </row>
    <row r="26" spans="1:13" ht="15" customHeight="1" x14ac:dyDescent="0.25">
      <c r="A26" s="6" t="s">
        <v>39</v>
      </c>
      <c r="B26" s="29"/>
      <c r="C26" s="30"/>
      <c r="D26" s="30"/>
      <c r="E26" s="30"/>
      <c r="F26" s="28"/>
      <c r="G26" s="28"/>
      <c r="H26" s="28"/>
      <c r="I26" s="28"/>
      <c r="J26" s="28"/>
      <c r="K26" s="28"/>
      <c r="L26" s="28"/>
      <c r="M26" s="28"/>
    </row>
    <row r="27" spans="1:13" ht="15" customHeight="1" x14ac:dyDescent="0.25">
      <c r="A27" s="6" t="s">
        <v>40</v>
      </c>
      <c r="B27" s="29"/>
      <c r="C27" s="30"/>
      <c r="D27" s="30"/>
      <c r="E27" s="30"/>
      <c r="F27" s="28"/>
      <c r="G27" s="28"/>
      <c r="H27" s="28"/>
      <c r="I27" s="28"/>
      <c r="J27" s="28"/>
      <c r="K27" s="28"/>
      <c r="L27" s="28"/>
      <c r="M27" s="28"/>
    </row>
    <row r="28" spans="1:13" ht="15" customHeight="1" x14ac:dyDescent="0.25">
      <c r="A28" s="6" t="s">
        <v>41</v>
      </c>
      <c r="B28" s="29"/>
      <c r="C28" s="30"/>
      <c r="D28" s="30"/>
      <c r="E28" s="30"/>
      <c r="F28" s="28"/>
      <c r="G28" s="28"/>
      <c r="H28" s="28"/>
      <c r="I28" s="28"/>
      <c r="J28" s="28"/>
      <c r="K28" s="28"/>
      <c r="L28" s="28"/>
      <c r="M28" s="28"/>
    </row>
  </sheetData>
  <conditionalFormatting sqref="C2:C22">
    <cfRule type="expression" dxfId="12" priority="1">
      <formula>OR(C2="On-Hold")</formula>
    </cfRule>
    <cfRule type="expression" dxfId="11" priority="2">
      <formula>OR(C2="Accepted",C2="Cancelled",C2="Revised")</formula>
    </cfRule>
    <cfRule type="expression" dxfId="10" priority="3">
      <formula>OR(C2="Proposed",C2="In-Planning",C2="In-Progress",C2="Delivered")</formula>
    </cfRule>
  </conditionalFormatting>
  <dataValidations count="3">
    <dataValidation type="list" allowBlank="1" showInputMessage="1" showErrorMessage="1" sqref="C2:C22">
      <formula1>Project_Status</formula1>
    </dataValidation>
    <dataValidation type="list" allowBlank="1" showInputMessage="1" showErrorMessage="1" sqref="F2:M28">
      <formula1>Position</formula1>
    </dataValidation>
    <dataValidation type="list" allowBlank="1" showInputMessage="1" showErrorMessage="1" sqref="F1:L1">
      <formula1>Resource_Name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9"/>
  <sheetViews>
    <sheetView showGridLines="0" workbookViewId="0">
      <selection activeCell="B13" sqref="B13"/>
    </sheetView>
  </sheetViews>
  <sheetFormatPr defaultRowHeight="15.75" x14ac:dyDescent="0.25"/>
  <cols>
    <col min="1" max="1" width="7.28515625" style="39" customWidth="1"/>
    <col min="2" max="2" width="50.7109375" style="39" customWidth="1"/>
    <col min="3" max="3" width="15.5703125" style="39" bestFit="1" customWidth="1"/>
    <col min="4" max="4" width="18.7109375" style="39" bestFit="1" customWidth="1"/>
    <col min="5" max="5" width="11.85546875" style="39" bestFit="1" customWidth="1"/>
    <col min="6" max="6" width="15.140625" style="39" bestFit="1" customWidth="1"/>
    <col min="7" max="7" width="11" style="39" bestFit="1" customWidth="1"/>
    <col min="8" max="8" width="18.140625" style="39" bestFit="1" customWidth="1"/>
    <col min="9" max="9" width="14.5703125" style="39" bestFit="1" customWidth="1"/>
    <col min="10" max="10" width="50.7109375" style="39" customWidth="1"/>
    <col min="11" max="16384" width="9.140625" style="39"/>
  </cols>
  <sheetData>
    <row r="1" spans="1:10" x14ac:dyDescent="0.25">
      <c r="A1" s="56" t="s">
        <v>136</v>
      </c>
      <c r="B1" s="57"/>
      <c r="C1" s="57"/>
      <c r="D1" s="57"/>
      <c r="E1" s="57"/>
      <c r="F1" s="57"/>
      <c r="G1" s="57"/>
      <c r="H1" s="57"/>
      <c r="I1" s="57"/>
      <c r="J1" s="58"/>
    </row>
    <row r="2" spans="1:10" x14ac:dyDescent="0.25">
      <c r="A2" s="35" t="s">
        <v>0</v>
      </c>
      <c r="B2" s="35" t="s">
        <v>151</v>
      </c>
      <c r="C2" s="35" t="s">
        <v>137</v>
      </c>
      <c r="D2" s="35" t="s">
        <v>138</v>
      </c>
      <c r="E2" s="35" t="s">
        <v>69</v>
      </c>
      <c r="F2" s="35" t="s">
        <v>139</v>
      </c>
      <c r="G2" s="35" t="s">
        <v>140</v>
      </c>
      <c r="H2" s="35" t="s">
        <v>141</v>
      </c>
      <c r="I2" s="35" t="s">
        <v>142</v>
      </c>
      <c r="J2" s="35" t="s">
        <v>111</v>
      </c>
    </row>
    <row r="3" spans="1:10" x14ac:dyDescent="0.25">
      <c r="A3" s="43"/>
      <c r="B3" s="44"/>
      <c r="C3" s="45"/>
      <c r="D3" s="46">
        <v>500</v>
      </c>
      <c r="E3" s="59"/>
      <c r="F3" s="60"/>
      <c r="G3" s="60"/>
      <c r="H3" s="60"/>
      <c r="I3" s="60"/>
      <c r="J3" s="61"/>
    </row>
    <row r="4" spans="1:10" x14ac:dyDescent="0.25">
      <c r="A4" s="36">
        <v>1</v>
      </c>
      <c r="B4" s="37" t="s">
        <v>156</v>
      </c>
      <c r="C4" s="36">
        <v>24</v>
      </c>
      <c r="D4" s="47">
        <f>+D3-C4</f>
        <v>476</v>
      </c>
      <c r="E4" s="38"/>
      <c r="F4" s="36" t="s">
        <v>112</v>
      </c>
      <c r="G4" s="38"/>
      <c r="H4" s="36" t="s">
        <v>143</v>
      </c>
      <c r="I4" s="38">
        <v>41512</v>
      </c>
      <c r="J4" s="37"/>
    </row>
    <row r="5" spans="1:10" x14ac:dyDescent="0.25">
      <c r="A5" s="36">
        <f>1+A4</f>
        <v>2</v>
      </c>
      <c r="B5" s="37" t="s">
        <v>155</v>
      </c>
      <c r="C5" s="36">
        <v>14</v>
      </c>
      <c r="D5" s="47">
        <f t="shared" ref="D5:D18" si="0">+D4-C5</f>
        <v>462</v>
      </c>
      <c r="E5" s="38"/>
      <c r="F5" s="36" t="s">
        <v>112</v>
      </c>
      <c r="G5" s="38"/>
      <c r="H5" s="36" t="s">
        <v>143</v>
      </c>
      <c r="I5" s="38">
        <v>41521</v>
      </c>
      <c r="J5" s="37"/>
    </row>
    <row r="6" spans="1:10" x14ac:dyDescent="0.25">
      <c r="A6" s="36">
        <f>1+A5</f>
        <v>3</v>
      </c>
      <c r="B6" s="37" t="s">
        <v>154</v>
      </c>
      <c r="C6" s="36">
        <v>16</v>
      </c>
      <c r="D6" s="47">
        <f>+D5-C6</f>
        <v>446</v>
      </c>
      <c r="E6" s="38"/>
      <c r="F6" s="36" t="s">
        <v>112</v>
      </c>
      <c r="G6" s="38"/>
      <c r="H6" s="36" t="s">
        <v>143</v>
      </c>
      <c r="I6" s="38">
        <v>41540</v>
      </c>
      <c r="J6" s="37"/>
    </row>
    <row r="7" spans="1:10" x14ac:dyDescent="0.25">
      <c r="A7" s="36">
        <f t="shared" ref="A7:A18" si="1">1+A6</f>
        <v>4</v>
      </c>
      <c r="B7" s="37" t="s">
        <v>144</v>
      </c>
      <c r="C7" s="36">
        <v>97</v>
      </c>
      <c r="D7" s="47">
        <f t="shared" si="0"/>
        <v>349</v>
      </c>
      <c r="E7" s="38"/>
      <c r="F7" s="36" t="s">
        <v>112</v>
      </c>
      <c r="G7" s="38"/>
      <c r="H7" s="36" t="s">
        <v>143</v>
      </c>
      <c r="I7" s="38">
        <v>41620</v>
      </c>
      <c r="J7" s="37" t="str">
        <f>CONCATENATE("Linked with (",$B$11,")")</f>
        <v>Linked with (15 PO Cancellation)</v>
      </c>
    </row>
    <row r="8" spans="1:10" x14ac:dyDescent="0.25">
      <c r="A8" s="36">
        <f t="shared" si="1"/>
        <v>5</v>
      </c>
      <c r="B8" s="37" t="s">
        <v>146</v>
      </c>
      <c r="C8" s="36">
        <v>32</v>
      </c>
      <c r="D8" s="47">
        <f t="shared" si="0"/>
        <v>317</v>
      </c>
      <c r="E8" s="38"/>
      <c r="F8" s="36" t="s">
        <v>112</v>
      </c>
      <c r="G8" s="38"/>
      <c r="H8" s="36" t="s">
        <v>143</v>
      </c>
      <c r="I8" s="38">
        <v>41620</v>
      </c>
      <c r="J8" s="37"/>
    </row>
    <row r="9" spans="1:10" x14ac:dyDescent="0.25">
      <c r="A9" s="36">
        <f t="shared" si="1"/>
        <v>6</v>
      </c>
      <c r="B9" s="37" t="s">
        <v>147</v>
      </c>
      <c r="C9" s="36">
        <v>83</v>
      </c>
      <c r="D9" s="47">
        <f t="shared" si="0"/>
        <v>234</v>
      </c>
      <c r="E9" s="38"/>
      <c r="F9" s="36" t="s">
        <v>148</v>
      </c>
      <c r="G9" s="38"/>
      <c r="H9" s="36" t="s">
        <v>149</v>
      </c>
      <c r="I9" s="38"/>
      <c r="J9" s="37"/>
    </row>
    <row r="10" spans="1:10" x14ac:dyDescent="0.25">
      <c r="A10" s="36">
        <f t="shared" si="1"/>
        <v>7</v>
      </c>
      <c r="B10" s="37" t="s">
        <v>153</v>
      </c>
      <c r="C10" s="36">
        <v>40</v>
      </c>
      <c r="D10" s="47">
        <f t="shared" si="0"/>
        <v>194</v>
      </c>
      <c r="E10" s="38"/>
      <c r="F10" s="36" t="s">
        <v>148</v>
      </c>
      <c r="G10" s="38"/>
      <c r="H10" s="36" t="s">
        <v>149</v>
      </c>
      <c r="I10" s="38"/>
      <c r="J10" s="37" t="str">
        <f>CONCATENATE("Linked with (",$B$12,")")</f>
        <v>Linked with (16 Regional Changes in PR Process)</v>
      </c>
    </row>
    <row r="11" spans="1:10" x14ac:dyDescent="0.25">
      <c r="A11" s="36">
        <f t="shared" si="1"/>
        <v>8</v>
      </c>
      <c r="B11" s="37" t="s">
        <v>152</v>
      </c>
      <c r="C11" s="36">
        <v>32</v>
      </c>
      <c r="D11" s="47">
        <f t="shared" si="0"/>
        <v>162</v>
      </c>
      <c r="E11" s="38"/>
      <c r="F11" s="36" t="s">
        <v>148</v>
      </c>
      <c r="G11" s="38"/>
      <c r="H11" s="36" t="s">
        <v>145</v>
      </c>
      <c r="I11" s="38">
        <v>41649</v>
      </c>
      <c r="J11" s="37"/>
    </row>
    <row r="12" spans="1:10" x14ac:dyDescent="0.25">
      <c r="A12" s="36">
        <f t="shared" si="1"/>
        <v>9</v>
      </c>
      <c r="B12" s="37" t="s">
        <v>150</v>
      </c>
      <c r="C12" s="36">
        <v>56</v>
      </c>
      <c r="D12" s="47">
        <f t="shared" si="0"/>
        <v>106</v>
      </c>
      <c r="E12" s="38"/>
      <c r="F12" s="36" t="s">
        <v>36</v>
      </c>
      <c r="G12" s="38"/>
      <c r="H12" s="36" t="s">
        <v>149</v>
      </c>
      <c r="I12" s="38"/>
      <c r="J12" s="37"/>
    </row>
    <row r="13" spans="1:10" x14ac:dyDescent="0.25">
      <c r="A13" s="36">
        <f t="shared" si="1"/>
        <v>10</v>
      </c>
      <c r="B13" s="40"/>
      <c r="C13" s="35"/>
      <c r="D13" s="47">
        <f t="shared" si="0"/>
        <v>106</v>
      </c>
      <c r="E13" s="38"/>
      <c r="F13" s="36"/>
      <c r="G13" s="38"/>
      <c r="H13" s="36"/>
      <c r="I13" s="42"/>
      <c r="J13" s="37"/>
    </row>
    <row r="14" spans="1:10" x14ac:dyDescent="0.25">
      <c r="A14" s="36">
        <f t="shared" si="1"/>
        <v>11</v>
      </c>
      <c r="B14" s="40"/>
      <c r="C14" s="35"/>
      <c r="D14" s="47">
        <f t="shared" si="0"/>
        <v>106</v>
      </c>
      <c r="E14" s="38"/>
      <c r="F14" s="36"/>
      <c r="G14" s="38"/>
      <c r="H14" s="36"/>
      <c r="I14" s="42"/>
      <c r="J14" s="37"/>
    </row>
    <row r="15" spans="1:10" x14ac:dyDescent="0.25">
      <c r="A15" s="36">
        <f t="shared" si="1"/>
        <v>12</v>
      </c>
      <c r="B15" s="40"/>
      <c r="C15" s="35"/>
      <c r="D15" s="47">
        <f t="shared" si="0"/>
        <v>106</v>
      </c>
      <c r="E15" s="38"/>
      <c r="F15" s="36"/>
      <c r="G15" s="38"/>
      <c r="H15" s="36"/>
      <c r="I15" s="42"/>
      <c r="J15" s="37"/>
    </row>
    <row r="16" spans="1:10" x14ac:dyDescent="0.25">
      <c r="A16" s="36">
        <f t="shared" si="1"/>
        <v>13</v>
      </c>
      <c r="B16" s="40"/>
      <c r="C16" s="35"/>
      <c r="D16" s="47">
        <f t="shared" si="0"/>
        <v>106</v>
      </c>
      <c r="E16" s="38"/>
      <c r="F16" s="36"/>
      <c r="G16" s="38"/>
      <c r="H16" s="36"/>
      <c r="I16" s="42"/>
      <c r="J16" s="37"/>
    </row>
    <row r="17" spans="1:10" x14ac:dyDescent="0.25">
      <c r="A17" s="36">
        <f t="shared" si="1"/>
        <v>14</v>
      </c>
      <c r="B17" s="40"/>
      <c r="C17" s="35"/>
      <c r="D17" s="47">
        <f t="shared" si="0"/>
        <v>106</v>
      </c>
      <c r="E17" s="38"/>
      <c r="F17" s="36"/>
      <c r="G17" s="38"/>
      <c r="H17" s="36"/>
      <c r="I17" s="42"/>
      <c r="J17" s="37"/>
    </row>
    <row r="18" spans="1:10" x14ac:dyDescent="0.25">
      <c r="A18" s="36">
        <f t="shared" si="1"/>
        <v>15</v>
      </c>
      <c r="B18" s="40"/>
      <c r="C18" s="35"/>
      <c r="D18" s="47">
        <f t="shared" si="0"/>
        <v>106</v>
      </c>
      <c r="E18" s="38"/>
      <c r="F18" s="36"/>
      <c r="G18" s="38"/>
      <c r="H18" s="36"/>
      <c r="I18" s="42"/>
      <c r="J18" s="37"/>
    </row>
    <row r="19" spans="1:10" x14ac:dyDescent="0.25">
      <c r="A19" s="36"/>
      <c r="B19" s="41" t="s">
        <v>157</v>
      </c>
      <c r="C19" s="35">
        <f>SUM(C4:C18)</f>
        <v>394</v>
      </c>
      <c r="D19" s="36"/>
      <c r="E19" s="38"/>
      <c r="F19" s="35"/>
      <c r="G19" s="38"/>
      <c r="H19" s="36"/>
      <c r="I19" s="35"/>
      <c r="J19" s="37"/>
    </row>
  </sheetData>
  <mergeCells count="2">
    <mergeCell ref="A1:J1"/>
    <mergeCell ref="E3:J3"/>
  </mergeCells>
  <conditionalFormatting sqref="D4:D18">
    <cfRule type="expression" dxfId="9" priority="5">
      <formula>D4&lt;=($D$3*20/100)</formula>
    </cfRule>
  </conditionalFormatting>
  <conditionalFormatting sqref="F4:F19">
    <cfRule type="cellIs" dxfId="8" priority="2" operator="notEqual">
      <formula>"Delivered"</formula>
    </cfRule>
    <cfRule type="cellIs" dxfId="7" priority="4" operator="equal">
      <formula>"Delivered"</formula>
    </cfRule>
  </conditionalFormatting>
  <conditionalFormatting sqref="H4:H19">
    <cfRule type="cellIs" dxfId="6" priority="1" operator="notEqual">
      <formula>"Cleared"</formula>
    </cfRule>
    <cfRule type="cellIs" dxfId="5" priority="3" operator="equal">
      <formula>"Cleared"</formula>
    </cfRule>
  </conditionalFormatting>
  <dataValidations count="2">
    <dataValidation type="list" allowBlank="1" showInputMessage="1" showErrorMessage="1" sqref="F4:F18">
      <formula1>China_Mobile_Status</formula1>
    </dataValidation>
    <dataValidation type="list" allowBlank="1" showInputMessage="1" showErrorMessage="1" sqref="H4:H19">
      <formula1>China_Mobile_Invoice_Status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18"/>
  <sheetViews>
    <sheetView showGridLines="0" workbookViewId="0">
      <pane xSplit="1" ySplit="1" topLeftCell="B2" activePane="bottomRight" state="frozen"/>
      <selection pane="topRight" activeCell="B1" sqref="B1"/>
      <selection pane="bottomLeft" activeCell="A2" sqref="A2"/>
      <selection pane="bottomRight" activeCell="J1" sqref="J1"/>
    </sheetView>
  </sheetViews>
  <sheetFormatPr defaultRowHeight="15" x14ac:dyDescent="0.25"/>
  <cols>
    <col min="1" max="1" width="4.5703125" customWidth="1"/>
    <col min="2" max="3" width="24.85546875" bestFit="1" customWidth="1"/>
    <col min="4" max="4" width="16.85546875" bestFit="1" customWidth="1"/>
    <col min="5" max="5" width="70.7109375" customWidth="1"/>
    <col min="6" max="6" width="24.85546875" bestFit="1" customWidth="1"/>
    <col min="7" max="7" width="8.42578125" bestFit="1" customWidth="1"/>
    <col min="8" max="9" width="20.28515625" bestFit="1" customWidth="1"/>
    <col min="10" max="10" width="11.28515625" bestFit="1" customWidth="1"/>
    <col min="11" max="11" width="16.7109375" bestFit="1" customWidth="1"/>
    <col min="12" max="12" width="11.85546875" bestFit="1" customWidth="1"/>
    <col min="13" max="13" width="11.42578125" bestFit="1" customWidth="1"/>
    <col min="14" max="14" width="50.7109375" customWidth="1"/>
  </cols>
  <sheetData>
    <row r="1" spans="1:14" ht="15" customHeight="1" thickBot="1" x14ac:dyDescent="0.3">
      <c r="A1" s="53" t="s">
        <v>0</v>
      </c>
      <c r="B1" s="54" t="s">
        <v>63</v>
      </c>
      <c r="C1" s="54" t="s">
        <v>166</v>
      </c>
      <c r="D1" s="54" t="s">
        <v>32</v>
      </c>
      <c r="E1" s="54" t="s">
        <v>33</v>
      </c>
      <c r="F1" s="54" t="s">
        <v>64</v>
      </c>
      <c r="G1" s="54" t="s">
        <v>61</v>
      </c>
      <c r="H1" s="54" t="s">
        <v>69</v>
      </c>
      <c r="I1" s="54" t="s">
        <v>70</v>
      </c>
      <c r="J1" s="54" t="s">
        <v>68</v>
      </c>
      <c r="K1" s="54" t="s">
        <v>65</v>
      </c>
      <c r="L1" s="54" t="s">
        <v>62</v>
      </c>
      <c r="M1" s="54" t="s">
        <v>2</v>
      </c>
      <c r="N1" s="55" t="s">
        <v>111</v>
      </c>
    </row>
    <row r="2" spans="1:14" ht="31.5" x14ac:dyDescent="0.25">
      <c r="A2" s="49">
        <v>1</v>
      </c>
      <c r="B2" s="50" t="s">
        <v>51</v>
      </c>
      <c r="C2" s="50"/>
      <c r="D2" s="11" t="s">
        <v>11</v>
      </c>
      <c r="E2" s="11" t="s">
        <v>127</v>
      </c>
      <c r="F2" s="11" t="s">
        <v>45</v>
      </c>
      <c r="G2" s="11" t="s">
        <v>42</v>
      </c>
      <c r="H2" s="51"/>
      <c r="I2" s="51"/>
      <c r="J2" s="12" t="str">
        <f t="shared" ref="J2:J8" si="0">IF(NETWORKDAYS.INTL(H2,I2,1)=0,"Holiday",IF(TEXT(I2,"d-m-y")=TEXT(H2,"d-m-y"),HOUR(I2)-HOUR(H2)&amp;" "&amp;"hr",NETWORKDAYS.INTL(H2,I2) &amp; " " &amp; "dy"))</f>
        <v>Holiday</v>
      </c>
      <c r="K2" s="12" t="str">
        <f t="shared" ref="K2:K8" ca="1" si="1">IF(OR(I2="",M2&lt;&gt;"In-Progress",J2="Holiday"),"",IF(DATE(YEAR(I2),MONTH(I2),DAY(I2))=TODAY(), HOUR(I2)-HOUR(NOW()) &amp; " " &amp; "hr", NETWORKDAYS.INTL(NOW(),I2,1)&amp;" "&amp;"dy"))</f>
        <v/>
      </c>
      <c r="L2" s="52"/>
      <c r="M2" s="11"/>
      <c r="N2" s="11"/>
    </row>
    <row r="3" spans="1:14" ht="78.75" x14ac:dyDescent="0.25">
      <c r="A3" s="2">
        <f>+A2+1</f>
        <v>2</v>
      </c>
      <c r="B3" s="32" t="s">
        <v>51</v>
      </c>
      <c r="C3" s="32"/>
      <c r="D3" s="3" t="s">
        <v>11</v>
      </c>
      <c r="E3" s="3" t="s">
        <v>128</v>
      </c>
      <c r="F3" s="3" t="s">
        <v>45</v>
      </c>
      <c r="G3" s="3" t="s">
        <v>42</v>
      </c>
      <c r="H3" s="10"/>
      <c r="I3" s="10"/>
      <c r="J3" s="31" t="str">
        <f t="shared" si="0"/>
        <v>Holiday</v>
      </c>
      <c r="K3" s="31" t="str">
        <f t="shared" ca="1" si="1"/>
        <v/>
      </c>
      <c r="L3" s="9"/>
      <c r="M3" s="3"/>
      <c r="N3" s="3"/>
    </row>
    <row r="4" spans="1:14" ht="15.75" x14ac:dyDescent="0.25">
      <c r="A4" s="2">
        <f t="shared" ref="A4:A18" si="2">+A3+1</f>
        <v>3</v>
      </c>
      <c r="B4" s="32" t="s">
        <v>51</v>
      </c>
      <c r="C4" s="32"/>
      <c r="D4" s="3" t="s">
        <v>11</v>
      </c>
      <c r="E4" s="3" t="s">
        <v>129</v>
      </c>
      <c r="F4" s="3" t="s">
        <v>45</v>
      </c>
      <c r="G4" s="3" t="s">
        <v>42</v>
      </c>
      <c r="H4" s="10"/>
      <c r="I4" s="10"/>
      <c r="J4" s="31" t="str">
        <f t="shared" si="0"/>
        <v>Holiday</v>
      </c>
      <c r="K4" s="31" t="str">
        <f t="shared" ca="1" si="1"/>
        <v/>
      </c>
      <c r="L4" s="9"/>
      <c r="M4" s="3"/>
      <c r="N4" s="3"/>
    </row>
    <row r="5" spans="1:14" ht="47.25" x14ac:dyDescent="0.25">
      <c r="A5" s="2">
        <f t="shared" si="2"/>
        <v>4</v>
      </c>
      <c r="B5" s="32" t="s">
        <v>51</v>
      </c>
      <c r="C5" s="32"/>
      <c r="D5" s="3" t="s">
        <v>11</v>
      </c>
      <c r="E5" s="3" t="s">
        <v>130</v>
      </c>
      <c r="F5" s="3" t="s">
        <v>45</v>
      </c>
      <c r="G5" s="3" t="s">
        <v>42</v>
      </c>
      <c r="H5" s="10"/>
      <c r="I5" s="10"/>
      <c r="J5" s="31" t="str">
        <f t="shared" si="0"/>
        <v>Holiday</v>
      </c>
      <c r="K5" s="31" t="str">
        <f t="shared" ca="1" si="1"/>
        <v/>
      </c>
      <c r="L5" s="9"/>
      <c r="M5" s="3"/>
      <c r="N5" s="3"/>
    </row>
    <row r="6" spans="1:14" ht="31.5" x14ac:dyDescent="0.25">
      <c r="A6" s="2">
        <f t="shared" si="2"/>
        <v>5</v>
      </c>
      <c r="B6" s="32" t="s">
        <v>51</v>
      </c>
      <c r="C6" s="32"/>
      <c r="D6" s="3" t="s">
        <v>11</v>
      </c>
      <c r="E6" s="3" t="s">
        <v>127</v>
      </c>
      <c r="F6" s="3" t="s">
        <v>45</v>
      </c>
      <c r="G6" s="3" t="s">
        <v>42</v>
      </c>
      <c r="H6" s="10"/>
      <c r="I6" s="10"/>
      <c r="J6" s="31" t="str">
        <f t="shared" si="0"/>
        <v>Holiday</v>
      </c>
      <c r="K6" s="31" t="str">
        <f t="shared" ca="1" si="1"/>
        <v/>
      </c>
      <c r="L6" s="9"/>
      <c r="M6" s="3"/>
      <c r="N6" s="3"/>
    </row>
    <row r="7" spans="1:14" ht="31.5" x14ac:dyDescent="0.25">
      <c r="A7" s="2">
        <f t="shared" si="2"/>
        <v>6</v>
      </c>
      <c r="B7" s="32" t="s">
        <v>51</v>
      </c>
      <c r="C7" s="32"/>
      <c r="D7" s="3" t="s">
        <v>11</v>
      </c>
      <c r="E7" s="3" t="s">
        <v>131</v>
      </c>
      <c r="F7" s="3" t="s">
        <v>45</v>
      </c>
      <c r="G7" s="3" t="s">
        <v>42</v>
      </c>
      <c r="H7" s="10"/>
      <c r="I7" s="10"/>
      <c r="J7" s="31" t="str">
        <f t="shared" si="0"/>
        <v>Holiday</v>
      </c>
      <c r="K7" s="31" t="str">
        <f t="shared" ca="1" si="1"/>
        <v/>
      </c>
      <c r="L7" s="9"/>
      <c r="M7" s="3"/>
      <c r="N7" s="3"/>
    </row>
    <row r="8" spans="1:14" ht="78.75" x14ac:dyDescent="0.25">
      <c r="A8" s="2">
        <f t="shared" si="2"/>
        <v>7</v>
      </c>
      <c r="B8" s="32" t="s">
        <v>51</v>
      </c>
      <c r="C8" s="32"/>
      <c r="D8" s="3" t="s">
        <v>11</v>
      </c>
      <c r="E8" s="3" t="s">
        <v>132</v>
      </c>
      <c r="F8" s="3" t="s">
        <v>45</v>
      </c>
      <c r="G8" s="3" t="s">
        <v>42</v>
      </c>
      <c r="H8" s="10"/>
      <c r="I8" s="10"/>
      <c r="J8" s="31" t="str">
        <f t="shared" si="0"/>
        <v>Holiday</v>
      </c>
      <c r="K8" s="31" t="str">
        <f t="shared" ca="1" si="1"/>
        <v/>
      </c>
      <c r="L8" s="9"/>
      <c r="M8" s="3"/>
      <c r="N8" s="3"/>
    </row>
    <row r="9" spans="1:14" ht="15" customHeight="1" x14ac:dyDescent="0.25">
      <c r="A9" s="2">
        <f t="shared" si="2"/>
        <v>8</v>
      </c>
      <c r="B9" s="3" t="s">
        <v>48</v>
      </c>
      <c r="C9" s="3"/>
      <c r="D9" s="3" t="s">
        <v>17</v>
      </c>
      <c r="E9" s="3" t="s">
        <v>115</v>
      </c>
      <c r="F9" s="3" t="s">
        <v>45</v>
      </c>
      <c r="G9" s="3" t="s">
        <v>42</v>
      </c>
      <c r="H9" s="10">
        <v>41631</v>
      </c>
      <c r="I9" s="10">
        <v>41635</v>
      </c>
      <c r="J9" s="31" t="str">
        <f>IF(NETWORKDAYS.INTL(H9,I9,1)=0,"Holiday",IF(TEXT(I9,"d-m-y")=TEXT(H9,"d-m-y"),HOUR(I9)-HOUR(H9)&amp;" "&amp;"hr",NETWORKDAYS.INTL(H9,I9) &amp; " " &amp; "dy"))</f>
        <v>5 dy</v>
      </c>
      <c r="K9" s="31" t="str">
        <f ca="1">IF(OR(I9="",M9&lt;&gt;"In-Progress",J9="Holiday"),"",IF(DATE(YEAR(I9),MONTH(I9),DAY(I9))=TODAY(), HOUR(I9)-HOUR(NOW()) &amp; " " &amp; "hr", NETWORKDAYS.INTL(NOW(),I9,1)&amp;" "&amp;"dy"))</f>
        <v/>
      </c>
      <c r="L9" s="9">
        <v>100</v>
      </c>
      <c r="M9" s="3" t="s">
        <v>112</v>
      </c>
      <c r="N9" s="3"/>
    </row>
    <row r="10" spans="1:14" ht="15" customHeight="1" x14ac:dyDescent="0.25">
      <c r="A10" s="2">
        <f t="shared" si="2"/>
        <v>9</v>
      </c>
      <c r="B10" s="3" t="s">
        <v>50</v>
      </c>
      <c r="C10" s="3"/>
      <c r="D10" s="3" t="s">
        <v>17</v>
      </c>
      <c r="E10" s="3" t="s">
        <v>116</v>
      </c>
      <c r="F10" s="3" t="s">
        <v>45</v>
      </c>
      <c r="G10" s="3" t="s">
        <v>42</v>
      </c>
      <c r="H10" s="10">
        <v>41646</v>
      </c>
      <c r="I10" s="10">
        <v>41649</v>
      </c>
      <c r="J10" s="31" t="str">
        <f t="shared" ref="J10:J18" si="3">IF(NETWORKDAYS.INTL(H10,I10,1)=0,"Holiday",IF(TEXT(I10,"d-m-y")=TEXT(H10,"d-m-y"),HOUR(I10)-HOUR(H10)&amp;" "&amp;"hr",NETWORKDAYS.INTL(H10,I10) &amp; " " &amp; "dy"))</f>
        <v>4 dy</v>
      </c>
      <c r="K10" s="31" t="str">
        <f t="shared" ref="K10:K18" ca="1" si="4">IF(OR(I10="",M10&lt;&gt;"In-Progress",J10="Holiday"),"",IF(DATE(YEAR(I10),MONTH(I10),DAY(I10))=TODAY(), HOUR(I10)-HOUR(NOW()) &amp; " " &amp; "hr", NETWORKDAYS.INTL(NOW(),I10,1)&amp;" "&amp;"dy"))</f>
        <v/>
      </c>
      <c r="L10" s="9"/>
      <c r="M10" s="3" t="s">
        <v>120</v>
      </c>
      <c r="N10" s="33" t="str">
        <f>CONCATENATE("Moved to Sr # ", ROW($A$13)-1)</f>
        <v>Moved to Sr # 12</v>
      </c>
    </row>
    <row r="11" spans="1:14" ht="15" customHeight="1" x14ac:dyDescent="0.25">
      <c r="A11" s="2">
        <f t="shared" si="2"/>
        <v>10</v>
      </c>
      <c r="B11" s="3" t="s">
        <v>47</v>
      </c>
      <c r="C11" s="3"/>
      <c r="D11" s="3" t="s">
        <v>17</v>
      </c>
      <c r="E11" s="3" t="s">
        <v>117</v>
      </c>
      <c r="F11" s="11" t="s">
        <v>45</v>
      </c>
      <c r="G11" s="11" t="s">
        <v>42</v>
      </c>
      <c r="H11" s="10">
        <v>41649</v>
      </c>
      <c r="I11" s="10">
        <v>41655</v>
      </c>
      <c r="J11" s="12" t="str">
        <f t="shared" si="3"/>
        <v>5 dy</v>
      </c>
      <c r="K11" s="12" t="str">
        <f t="shared" ca="1" si="4"/>
        <v>-13 dy</v>
      </c>
      <c r="L11" s="9"/>
      <c r="M11" s="3" t="s">
        <v>36</v>
      </c>
      <c r="N11" s="34"/>
    </row>
    <row r="12" spans="1:14" ht="15" customHeight="1" x14ac:dyDescent="0.25">
      <c r="A12" s="2">
        <f t="shared" si="2"/>
        <v>11</v>
      </c>
      <c r="B12" s="3" t="s">
        <v>49</v>
      </c>
      <c r="C12" s="3"/>
      <c r="D12" s="3" t="s">
        <v>17</v>
      </c>
      <c r="E12" s="3" t="s">
        <v>118</v>
      </c>
      <c r="F12" s="11" t="s">
        <v>45</v>
      </c>
      <c r="G12" s="11" t="s">
        <v>42</v>
      </c>
      <c r="H12" s="10">
        <v>41654</v>
      </c>
      <c r="I12" s="10">
        <v>41656</v>
      </c>
      <c r="J12" s="12" t="str">
        <f t="shared" si="3"/>
        <v>3 dy</v>
      </c>
      <c r="K12" s="12" t="str">
        <f t="shared" ca="1" si="4"/>
        <v>-12 dy</v>
      </c>
      <c r="L12" s="9"/>
      <c r="M12" s="3" t="s">
        <v>36</v>
      </c>
      <c r="N12" s="34"/>
    </row>
    <row r="13" spans="1:14" ht="15" customHeight="1" x14ac:dyDescent="0.25">
      <c r="A13" s="2">
        <f t="shared" si="2"/>
        <v>12</v>
      </c>
      <c r="B13" s="3" t="s">
        <v>50</v>
      </c>
      <c r="C13" s="3"/>
      <c r="D13" s="3" t="s">
        <v>17</v>
      </c>
      <c r="E13" s="3" t="s">
        <v>116</v>
      </c>
      <c r="F13" s="11" t="s">
        <v>45</v>
      </c>
      <c r="G13" s="11" t="s">
        <v>42</v>
      </c>
      <c r="H13" s="10">
        <v>41646</v>
      </c>
      <c r="I13" s="10">
        <v>41654</v>
      </c>
      <c r="J13" s="12" t="str">
        <f t="shared" si="3"/>
        <v>7 dy</v>
      </c>
      <c r="K13" s="12" t="str">
        <f t="shared" ca="1" si="4"/>
        <v>-14 dy</v>
      </c>
      <c r="L13" s="9"/>
      <c r="M13" s="3" t="s">
        <v>36</v>
      </c>
      <c r="N13" s="34" t="str">
        <f>CONCATENATE("Moved from Sr # ", ROW($A$10)-1)</f>
        <v>Moved from Sr # 9</v>
      </c>
    </row>
    <row r="14" spans="1:14" ht="15" customHeight="1" x14ac:dyDescent="0.25">
      <c r="A14" s="2">
        <f t="shared" si="2"/>
        <v>13</v>
      </c>
      <c r="B14" s="3"/>
      <c r="C14" s="3"/>
      <c r="D14" s="3"/>
      <c r="E14" s="3"/>
      <c r="F14" s="3"/>
      <c r="G14" s="3"/>
      <c r="H14" s="10"/>
      <c r="I14" s="10"/>
      <c r="J14" s="12" t="str">
        <f t="shared" si="3"/>
        <v>Holiday</v>
      </c>
      <c r="K14" s="12" t="str">
        <f t="shared" ca="1" si="4"/>
        <v/>
      </c>
      <c r="L14" s="9"/>
      <c r="M14" s="3"/>
      <c r="N14" s="11"/>
    </row>
    <row r="15" spans="1:14" ht="15" customHeight="1" x14ac:dyDescent="0.25">
      <c r="A15" s="2">
        <f t="shared" si="2"/>
        <v>14</v>
      </c>
      <c r="B15" s="3"/>
      <c r="C15" s="3"/>
      <c r="D15" s="3"/>
      <c r="E15" s="3"/>
      <c r="F15" s="3"/>
      <c r="G15" s="3"/>
      <c r="H15" s="10"/>
      <c r="I15" s="10"/>
      <c r="J15" s="12" t="str">
        <f t="shared" si="3"/>
        <v>Holiday</v>
      </c>
      <c r="K15" s="12" t="str">
        <f t="shared" ca="1" si="4"/>
        <v/>
      </c>
      <c r="L15" s="9"/>
      <c r="M15" s="3"/>
      <c r="N15" s="11"/>
    </row>
    <row r="16" spans="1:14" ht="15" customHeight="1" x14ac:dyDescent="0.25">
      <c r="A16" s="2">
        <f t="shared" si="2"/>
        <v>15</v>
      </c>
      <c r="B16" s="3"/>
      <c r="C16" s="3"/>
      <c r="D16" s="3"/>
      <c r="E16" s="3"/>
      <c r="F16" s="3"/>
      <c r="G16" s="3"/>
      <c r="H16" s="10"/>
      <c r="I16" s="10"/>
      <c r="J16" s="12" t="str">
        <f t="shared" si="3"/>
        <v>Holiday</v>
      </c>
      <c r="K16" s="12" t="str">
        <f t="shared" ca="1" si="4"/>
        <v/>
      </c>
      <c r="L16" s="9"/>
      <c r="M16" s="3"/>
      <c r="N16" s="11"/>
    </row>
    <row r="17" spans="1:14" ht="15" customHeight="1" x14ac:dyDescent="0.25">
      <c r="A17" s="2">
        <f t="shared" si="2"/>
        <v>16</v>
      </c>
      <c r="B17" s="3"/>
      <c r="C17" s="3"/>
      <c r="D17" s="3"/>
      <c r="E17" s="3"/>
      <c r="F17" s="3"/>
      <c r="G17" s="3"/>
      <c r="H17" s="10"/>
      <c r="I17" s="10"/>
      <c r="J17" s="12" t="str">
        <f t="shared" si="3"/>
        <v>Holiday</v>
      </c>
      <c r="K17" s="12" t="str">
        <f t="shared" ca="1" si="4"/>
        <v/>
      </c>
      <c r="L17" s="9"/>
      <c r="M17" s="3"/>
      <c r="N17" s="11"/>
    </row>
    <row r="18" spans="1:14" ht="15" customHeight="1" x14ac:dyDescent="0.25">
      <c r="A18" s="2">
        <f t="shared" si="2"/>
        <v>17</v>
      </c>
      <c r="B18" s="3"/>
      <c r="C18" s="3"/>
      <c r="D18" s="3"/>
      <c r="E18" s="3"/>
      <c r="F18" s="3"/>
      <c r="G18" s="3"/>
      <c r="H18" s="10"/>
      <c r="I18" s="10"/>
      <c r="J18" s="12" t="str">
        <f t="shared" si="3"/>
        <v>Holiday</v>
      </c>
      <c r="K18" s="12" t="str">
        <f t="shared" ca="1" si="4"/>
        <v/>
      </c>
      <c r="L18" s="9"/>
      <c r="M18" s="3"/>
      <c r="N18" s="11"/>
    </row>
  </sheetData>
  <conditionalFormatting sqref="K2:K18">
    <cfRule type="expression" dxfId="4" priority="15">
      <formula>OR(LEFT(K2,1)="-", LEFT(K2,1)="0")</formula>
    </cfRule>
    <cfRule type="expression" dxfId="3" priority="16">
      <formula>LEFT(K2,1)&lt;&gt;"-"</formula>
    </cfRule>
  </conditionalFormatting>
  <conditionalFormatting sqref="M2:M18">
    <cfRule type="expression" dxfId="2" priority="6">
      <formula>OR(M2="On-Hold")</formula>
    </cfRule>
    <cfRule type="expression" dxfId="1" priority="7">
      <formula>OR(M2="Accepted",M2="Cancelled",M2="Revised")</formula>
    </cfRule>
    <cfRule type="expression" dxfId="0" priority="8">
      <formula>OR(M2="In-Progress",M2="Delivered")</formula>
    </cfRule>
  </conditionalFormatting>
  <dataValidations count="5">
    <dataValidation type="list" allowBlank="1" showInputMessage="1" showErrorMessage="1" sqref="M2:M18">
      <formula1>Task_Status</formula1>
    </dataValidation>
    <dataValidation type="list" allowBlank="1" showInputMessage="1" showErrorMessage="1" sqref="D2:D18">
      <formula1>Project_Name</formula1>
    </dataValidation>
    <dataValidation type="list" allowBlank="1" showInputMessage="1" showErrorMessage="1" sqref="G2:G18">
      <formula1>Priority</formula1>
    </dataValidation>
    <dataValidation type="list" allowBlank="1" showInputMessage="1" showErrorMessage="1" sqref="L2:L18">
      <formula1>Percent_Done</formula1>
    </dataValidation>
    <dataValidation type="list" allowBlank="1" showInputMessage="1" showErrorMessage="1" sqref="F2:F18 B2:C18">
      <formula1>Resource_Name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126"/>
  <sheetViews>
    <sheetView showGridLines="0" zoomScaleNormal="100" workbookViewId="0"/>
  </sheetViews>
  <sheetFormatPr defaultRowHeight="15" x14ac:dyDescent="0.25"/>
  <cols>
    <col min="1" max="1" width="11.140625" bestFit="1" customWidth="1"/>
    <col min="2" max="2" width="9.7109375" bestFit="1" customWidth="1"/>
    <col min="3" max="3" width="11.42578125" bestFit="1" customWidth="1"/>
    <col min="4" max="4" width="11" bestFit="1" customWidth="1"/>
    <col min="6" max="6" width="9.140625" style="8"/>
    <col min="11" max="11" width="24.85546875" bestFit="1" customWidth="1"/>
    <col min="13" max="13" width="11.85546875" bestFit="1" customWidth="1"/>
  </cols>
  <sheetData>
    <row r="1" spans="1:19" ht="15.75" x14ac:dyDescent="0.25">
      <c r="A1" t="s">
        <v>19</v>
      </c>
      <c r="B1" s="7" t="s">
        <v>5</v>
      </c>
      <c r="D1" t="s">
        <v>36</v>
      </c>
      <c r="E1" s="7" t="s">
        <v>5</v>
      </c>
      <c r="G1" t="s">
        <v>42</v>
      </c>
      <c r="I1">
        <v>0</v>
      </c>
      <c r="K1" s="6" t="s">
        <v>45</v>
      </c>
      <c r="M1" s="6" t="s">
        <v>54</v>
      </c>
      <c r="O1" t="s">
        <v>6</v>
      </c>
      <c r="Q1" t="s">
        <v>112</v>
      </c>
      <c r="S1" t="s">
        <v>143</v>
      </c>
    </row>
    <row r="2" spans="1:19" ht="15.75" x14ac:dyDescent="0.25">
      <c r="A2" t="s">
        <v>37</v>
      </c>
      <c r="B2" s="7" t="s">
        <v>5</v>
      </c>
      <c r="D2" t="s">
        <v>112</v>
      </c>
      <c r="E2" s="7" t="s">
        <v>5</v>
      </c>
      <c r="G2" t="s">
        <v>43</v>
      </c>
      <c r="I2">
        <v>10</v>
      </c>
      <c r="K2" s="6" t="s">
        <v>49</v>
      </c>
      <c r="M2" s="6" t="s">
        <v>55</v>
      </c>
      <c r="O2" t="s">
        <v>7</v>
      </c>
      <c r="Q2" t="s">
        <v>148</v>
      </c>
      <c r="S2" t="s">
        <v>145</v>
      </c>
    </row>
    <row r="3" spans="1:19" ht="15.75" x14ac:dyDescent="0.25">
      <c r="A3" t="s">
        <v>36</v>
      </c>
      <c r="B3" s="7" t="s">
        <v>5</v>
      </c>
      <c r="D3" t="s">
        <v>113</v>
      </c>
      <c r="E3" s="7" t="s">
        <v>34</v>
      </c>
      <c r="G3" t="s">
        <v>44</v>
      </c>
      <c r="I3">
        <v>20</v>
      </c>
      <c r="K3" s="6" t="s">
        <v>53</v>
      </c>
      <c r="M3" s="6" t="s">
        <v>56</v>
      </c>
      <c r="O3" t="s">
        <v>8</v>
      </c>
      <c r="Q3" t="s">
        <v>36</v>
      </c>
      <c r="S3" t="s">
        <v>149</v>
      </c>
    </row>
    <row r="4" spans="1:19" ht="15.75" x14ac:dyDescent="0.25">
      <c r="A4" t="s">
        <v>112</v>
      </c>
      <c r="B4" s="7" t="s">
        <v>5</v>
      </c>
      <c r="D4" t="s">
        <v>38</v>
      </c>
      <c r="E4" s="7" t="s">
        <v>35</v>
      </c>
      <c r="I4">
        <v>30</v>
      </c>
      <c r="K4" s="6" t="s">
        <v>51</v>
      </c>
      <c r="M4" s="6" t="s">
        <v>57</v>
      </c>
      <c r="O4" t="s">
        <v>114</v>
      </c>
    </row>
    <row r="5" spans="1:19" ht="15.75" x14ac:dyDescent="0.25">
      <c r="A5" t="s">
        <v>113</v>
      </c>
      <c r="B5" s="7" t="s">
        <v>34</v>
      </c>
      <c r="D5" t="s">
        <v>119</v>
      </c>
      <c r="E5" s="7" t="s">
        <v>34</v>
      </c>
      <c r="I5">
        <v>40</v>
      </c>
      <c r="K5" s="6" t="s">
        <v>47</v>
      </c>
      <c r="M5" s="6" t="s">
        <v>58</v>
      </c>
    </row>
    <row r="6" spans="1:19" ht="15.75" x14ac:dyDescent="0.25">
      <c r="A6" t="s">
        <v>38</v>
      </c>
      <c r="B6" s="7" t="s">
        <v>35</v>
      </c>
      <c r="D6" t="s">
        <v>120</v>
      </c>
      <c r="E6" s="7" t="s">
        <v>34</v>
      </c>
      <c r="I6">
        <v>50</v>
      </c>
      <c r="K6" s="6" t="s">
        <v>31</v>
      </c>
      <c r="M6" s="6" t="s">
        <v>59</v>
      </c>
    </row>
    <row r="7" spans="1:19" ht="15.75" x14ac:dyDescent="0.25">
      <c r="A7" t="s">
        <v>119</v>
      </c>
      <c r="B7" s="7" t="s">
        <v>34</v>
      </c>
      <c r="I7">
        <v>60</v>
      </c>
      <c r="K7" s="6" t="s">
        <v>46</v>
      </c>
      <c r="M7" s="6" t="s">
        <v>60</v>
      </c>
    </row>
    <row r="8" spans="1:19" ht="15.75" x14ac:dyDescent="0.25">
      <c r="A8" t="s">
        <v>120</v>
      </c>
      <c r="B8" s="7" t="s">
        <v>34</v>
      </c>
      <c r="I8">
        <v>70</v>
      </c>
      <c r="K8" s="6" t="s">
        <v>52</v>
      </c>
    </row>
    <row r="9" spans="1:19" ht="15.75" x14ac:dyDescent="0.25">
      <c r="I9">
        <v>80</v>
      </c>
      <c r="K9" s="6" t="s">
        <v>48</v>
      </c>
    </row>
    <row r="10" spans="1:19" ht="15.75" x14ac:dyDescent="0.25">
      <c r="I10">
        <v>90</v>
      </c>
      <c r="K10" s="6" t="s">
        <v>50</v>
      </c>
    </row>
    <row r="11" spans="1:19" x14ac:dyDescent="0.25">
      <c r="I11">
        <v>100</v>
      </c>
    </row>
    <row r="18" spans="1:16" x14ac:dyDescent="0.25">
      <c r="A18" s="17" t="s">
        <v>160</v>
      </c>
      <c r="F18"/>
    </row>
    <row r="19" spans="1:16" x14ac:dyDescent="0.25">
      <c r="A19" s="15" t="s">
        <v>73</v>
      </c>
    </row>
    <row r="20" spans="1:16" x14ac:dyDescent="0.25">
      <c r="A20" t="s">
        <v>78</v>
      </c>
      <c r="F20"/>
    </row>
    <row r="21" spans="1:16" x14ac:dyDescent="0.25">
      <c r="A21" t="s">
        <v>80</v>
      </c>
      <c r="F21"/>
    </row>
    <row r="22" spans="1:16" x14ac:dyDescent="0.25">
      <c r="A22" t="s">
        <v>93</v>
      </c>
      <c r="F22"/>
    </row>
    <row r="23" spans="1:16" x14ac:dyDescent="0.25">
      <c r="F23"/>
    </row>
    <row r="24" spans="1:16" x14ac:dyDescent="0.25">
      <c r="A24" s="17" t="s">
        <v>86</v>
      </c>
      <c r="F24"/>
    </row>
    <row r="25" spans="1:16" x14ac:dyDescent="0.25">
      <c r="A25" s="7" t="s">
        <v>79</v>
      </c>
      <c r="B25" s="7"/>
      <c r="C25" s="7"/>
      <c r="D25" s="7"/>
      <c r="E25" s="7"/>
      <c r="F25" s="7"/>
      <c r="G25" s="7"/>
      <c r="H25" s="7"/>
      <c r="I25" s="7"/>
      <c r="J25" s="7"/>
      <c r="K25" s="7"/>
      <c r="L25" s="7"/>
      <c r="M25" s="7"/>
      <c r="N25" s="7"/>
    </row>
    <row r="26" spans="1:16" x14ac:dyDescent="0.25">
      <c r="A26" t="s">
        <v>94</v>
      </c>
      <c r="F26"/>
    </row>
    <row r="27" spans="1:16" x14ac:dyDescent="0.25">
      <c r="F27"/>
    </row>
    <row r="28" spans="1:16" x14ac:dyDescent="0.25">
      <c r="F28"/>
    </row>
    <row r="29" spans="1:16" x14ac:dyDescent="0.25">
      <c r="A29" s="17" t="s">
        <v>161</v>
      </c>
      <c r="F29"/>
    </row>
    <row r="30" spans="1:16" x14ac:dyDescent="0.25">
      <c r="A30" s="24" t="s">
        <v>87</v>
      </c>
      <c r="B30" s="7"/>
      <c r="C30" s="7"/>
      <c r="D30" s="7"/>
      <c r="E30" s="7"/>
      <c r="F30" s="7"/>
      <c r="G30" s="7"/>
      <c r="H30" s="7"/>
      <c r="I30" s="7"/>
      <c r="J30" s="7"/>
      <c r="K30" s="7"/>
      <c r="L30" s="7"/>
      <c r="M30" s="7"/>
      <c r="N30" s="7"/>
      <c r="O30" s="7"/>
      <c r="P30" s="7"/>
    </row>
    <row r="31" spans="1:16" x14ac:dyDescent="0.25">
      <c r="A31" t="s">
        <v>90</v>
      </c>
      <c r="F31"/>
    </row>
    <row r="32" spans="1:16" x14ac:dyDescent="0.25">
      <c r="A32" t="s">
        <v>88</v>
      </c>
      <c r="F32"/>
    </row>
    <row r="33" spans="1:6" x14ac:dyDescent="0.25">
      <c r="A33" t="s">
        <v>89</v>
      </c>
      <c r="F33"/>
    </row>
    <row r="34" spans="1:6" x14ac:dyDescent="0.25">
      <c r="F34"/>
    </row>
    <row r="35" spans="1:6" x14ac:dyDescent="0.25">
      <c r="F35"/>
    </row>
    <row r="36" spans="1:6" x14ac:dyDescent="0.25">
      <c r="A36" s="17" t="s">
        <v>162</v>
      </c>
      <c r="F36"/>
    </row>
    <row r="37" spans="1:6" x14ac:dyDescent="0.25">
      <c r="A37" s="25" t="s">
        <v>133</v>
      </c>
      <c r="F37"/>
    </row>
    <row r="38" spans="1:6" x14ac:dyDescent="0.25">
      <c r="A38" t="s">
        <v>134</v>
      </c>
      <c r="F38"/>
    </row>
    <row r="39" spans="1:6" x14ac:dyDescent="0.25">
      <c r="A39" t="s">
        <v>135</v>
      </c>
      <c r="F39"/>
    </row>
    <row r="40" spans="1:6" x14ac:dyDescent="0.25">
      <c r="F40"/>
    </row>
    <row r="41" spans="1:6" x14ac:dyDescent="0.25">
      <c r="F41"/>
    </row>
    <row r="42" spans="1:6" x14ac:dyDescent="0.25">
      <c r="A42" s="17" t="s">
        <v>163</v>
      </c>
      <c r="F42"/>
    </row>
    <row r="43" spans="1:6" x14ac:dyDescent="0.25">
      <c r="A43" s="26" t="s">
        <v>110</v>
      </c>
      <c r="F43"/>
    </row>
    <row r="44" spans="1:6" s="25" customFormat="1" x14ac:dyDescent="0.25">
      <c r="A44" s="25" t="s">
        <v>109</v>
      </c>
    </row>
    <row r="45" spans="1:6" s="25" customFormat="1" x14ac:dyDescent="0.25"/>
    <row r="46" spans="1:6" s="25" customFormat="1" x14ac:dyDescent="0.25">
      <c r="A46" s="24" t="s">
        <v>105</v>
      </c>
      <c r="B46" s="24"/>
      <c r="C46" s="24"/>
    </row>
    <row r="47" spans="1:6" s="25" customFormat="1" x14ac:dyDescent="0.25"/>
    <row r="48" spans="1:6" s="25" customFormat="1" x14ac:dyDescent="0.25">
      <c r="A48" s="25" t="s">
        <v>99</v>
      </c>
    </row>
    <row r="49" spans="1:6" s="25" customFormat="1" x14ac:dyDescent="0.25"/>
    <row r="50" spans="1:6" s="25" customFormat="1" x14ac:dyDescent="0.25">
      <c r="A50" s="24" t="s">
        <v>106</v>
      </c>
      <c r="B50" s="24"/>
      <c r="C50" s="48"/>
    </row>
    <row r="51" spans="1:6" s="25" customFormat="1" x14ac:dyDescent="0.25"/>
    <row r="52" spans="1:6" s="25" customFormat="1" x14ac:dyDescent="0.25">
      <c r="A52" s="25" t="s">
        <v>104</v>
      </c>
    </row>
    <row r="53" spans="1:6" s="25" customFormat="1" x14ac:dyDescent="0.25"/>
    <row r="54" spans="1:6" s="25" customFormat="1" x14ac:dyDescent="0.25">
      <c r="A54" s="26" t="s">
        <v>107</v>
      </c>
    </row>
    <row r="55" spans="1:6" s="25" customFormat="1" x14ac:dyDescent="0.25">
      <c r="A55" s="25" t="s">
        <v>108</v>
      </c>
    </row>
    <row r="56" spans="1:6" x14ac:dyDescent="0.25">
      <c r="F56"/>
    </row>
    <row r="57" spans="1:6" x14ac:dyDescent="0.25">
      <c r="A57" s="26" t="s">
        <v>101</v>
      </c>
      <c r="F57"/>
    </row>
    <row r="58" spans="1:6" x14ac:dyDescent="0.25">
      <c r="F58"/>
    </row>
    <row r="59" spans="1:6" x14ac:dyDescent="0.25">
      <c r="A59" t="s">
        <v>96</v>
      </c>
      <c r="F59"/>
    </row>
    <row r="60" spans="1:6" x14ac:dyDescent="0.25">
      <c r="A60" t="s">
        <v>97</v>
      </c>
      <c r="F60"/>
    </row>
    <row r="61" spans="1:6" x14ac:dyDescent="0.25">
      <c r="A61" t="s">
        <v>98</v>
      </c>
      <c r="F61"/>
    </row>
    <row r="62" spans="1:6" x14ac:dyDescent="0.25">
      <c r="F62"/>
    </row>
    <row r="63" spans="1:6" x14ac:dyDescent="0.25">
      <c r="A63" s="26" t="s">
        <v>102</v>
      </c>
      <c r="F63"/>
    </row>
    <row r="64" spans="1:6" x14ac:dyDescent="0.25">
      <c r="F64"/>
    </row>
    <row r="65" spans="1:6" x14ac:dyDescent="0.25">
      <c r="A65" t="s">
        <v>99</v>
      </c>
      <c r="F65"/>
    </row>
    <row r="66" spans="1:6" x14ac:dyDescent="0.25">
      <c r="F66"/>
    </row>
    <row r="67" spans="1:6" x14ac:dyDescent="0.25">
      <c r="A67" s="26" t="s">
        <v>103</v>
      </c>
      <c r="F67"/>
    </row>
    <row r="68" spans="1:6" x14ac:dyDescent="0.25">
      <c r="F68"/>
    </row>
    <row r="69" spans="1:6" x14ac:dyDescent="0.25">
      <c r="A69" t="s">
        <v>100</v>
      </c>
      <c r="F69"/>
    </row>
    <row r="70" spans="1:6" x14ac:dyDescent="0.25">
      <c r="F70"/>
    </row>
    <row r="71" spans="1:6" x14ac:dyDescent="0.25">
      <c r="F71"/>
    </row>
    <row r="72" spans="1:6" x14ac:dyDescent="0.25">
      <c r="A72" s="17" t="s">
        <v>164</v>
      </c>
      <c r="F72"/>
    </row>
    <row r="73" spans="1:6" x14ac:dyDescent="0.25">
      <c r="A73" s="26" t="s">
        <v>121</v>
      </c>
      <c r="F73"/>
    </row>
    <row r="74" spans="1:6" x14ac:dyDescent="0.25">
      <c r="A74" t="s">
        <v>122</v>
      </c>
      <c r="F74"/>
    </row>
    <row r="75" spans="1:6" x14ac:dyDescent="0.25">
      <c r="F75"/>
    </row>
    <row r="76" spans="1:6" x14ac:dyDescent="0.25">
      <c r="A76" t="s">
        <v>123</v>
      </c>
      <c r="F76"/>
    </row>
    <row r="77" spans="1:6" x14ac:dyDescent="0.25">
      <c r="F77"/>
    </row>
    <row r="78" spans="1:6" x14ac:dyDescent="0.25">
      <c r="A78" t="s">
        <v>124</v>
      </c>
      <c r="F78"/>
    </row>
    <row r="79" spans="1:6" x14ac:dyDescent="0.25">
      <c r="F79"/>
    </row>
    <row r="80" spans="1:6" x14ac:dyDescent="0.25">
      <c r="F80"/>
    </row>
    <row r="81" spans="1:6" x14ac:dyDescent="0.25">
      <c r="A81" s="26" t="s">
        <v>125</v>
      </c>
      <c r="F81"/>
    </row>
    <row r="82" spans="1:6" x14ac:dyDescent="0.25">
      <c r="A82" t="s">
        <v>126</v>
      </c>
      <c r="F82"/>
    </row>
    <row r="83" spans="1:6" x14ac:dyDescent="0.25">
      <c r="F83"/>
    </row>
    <row r="84" spans="1:6" x14ac:dyDescent="0.25">
      <c r="A84" t="s">
        <v>123</v>
      </c>
      <c r="F84"/>
    </row>
    <row r="85" spans="1:6" x14ac:dyDescent="0.25">
      <c r="F85"/>
    </row>
    <row r="86" spans="1:6" x14ac:dyDescent="0.25">
      <c r="A86" t="s">
        <v>124</v>
      </c>
      <c r="F86"/>
    </row>
    <row r="87" spans="1:6" x14ac:dyDescent="0.25">
      <c r="F87"/>
    </row>
    <row r="88" spans="1:6" x14ac:dyDescent="0.25">
      <c r="F88"/>
    </row>
    <row r="89" spans="1:6" x14ac:dyDescent="0.25">
      <c r="A89" s="17" t="s">
        <v>165</v>
      </c>
      <c r="F89"/>
    </row>
    <row r="90" spans="1:6" ht="15.75" x14ac:dyDescent="0.25">
      <c r="A90" s="39" t="s">
        <v>159</v>
      </c>
      <c r="F90"/>
    </row>
    <row r="91" spans="1:6" ht="15.75" x14ac:dyDescent="0.25">
      <c r="A91" s="39" t="s">
        <v>158</v>
      </c>
      <c r="F91"/>
    </row>
    <row r="92" spans="1:6" x14ac:dyDescent="0.25">
      <c r="F92"/>
    </row>
    <row r="93" spans="1:6" x14ac:dyDescent="0.25">
      <c r="F93"/>
    </row>
    <row r="94" spans="1:6" x14ac:dyDescent="0.25">
      <c r="A94" s="17" t="s">
        <v>85</v>
      </c>
    </row>
    <row r="95" spans="1:6" ht="15.75" x14ac:dyDescent="0.25">
      <c r="A95" s="20">
        <v>41644.75</v>
      </c>
      <c r="B95" s="19" t="b">
        <f>WEEKDAY(A95,2)&lt;6</f>
        <v>0</v>
      </c>
    </row>
    <row r="96" spans="1:6" ht="15.75" x14ac:dyDescent="0.25">
      <c r="A96" s="21">
        <v>41645.75</v>
      </c>
      <c r="B96" s="14">
        <f t="shared" ref="B96:B102" si="0">WEEKDAY(A96)</f>
        <v>2</v>
      </c>
      <c r="C96" s="13" t="str">
        <f t="shared" ref="C96:C102" si="1">TEXT(B96,"dddd")</f>
        <v>Monday</v>
      </c>
    </row>
    <row r="97" spans="1:3" ht="15.75" x14ac:dyDescent="0.25">
      <c r="A97" s="21">
        <v>41646.75</v>
      </c>
      <c r="B97" s="14">
        <f t="shared" si="0"/>
        <v>3</v>
      </c>
      <c r="C97" s="13" t="str">
        <f t="shared" si="1"/>
        <v>Tuesday</v>
      </c>
    </row>
    <row r="98" spans="1:3" ht="15.75" x14ac:dyDescent="0.25">
      <c r="A98" s="21">
        <v>41647.75</v>
      </c>
      <c r="B98" s="14">
        <f t="shared" si="0"/>
        <v>4</v>
      </c>
      <c r="C98" s="13" t="str">
        <f t="shared" si="1"/>
        <v>Wednesday</v>
      </c>
    </row>
    <row r="99" spans="1:3" ht="15.75" x14ac:dyDescent="0.25">
      <c r="A99" s="21">
        <v>41648.75</v>
      </c>
      <c r="B99" s="14">
        <f t="shared" si="0"/>
        <v>5</v>
      </c>
      <c r="C99" s="13" t="str">
        <f t="shared" si="1"/>
        <v>Thursday</v>
      </c>
    </row>
    <row r="100" spans="1:3" ht="15.75" x14ac:dyDescent="0.25">
      <c r="A100" s="21">
        <v>41649.75</v>
      </c>
      <c r="B100" s="14">
        <f t="shared" si="0"/>
        <v>6</v>
      </c>
      <c r="C100" s="13" t="str">
        <f t="shared" si="1"/>
        <v>Friday</v>
      </c>
    </row>
    <row r="101" spans="1:3" ht="15.75" x14ac:dyDescent="0.25">
      <c r="A101" s="21">
        <v>41650.75</v>
      </c>
      <c r="B101" s="14">
        <f t="shared" si="0"/>
        <v>7</v>
      </c>
      <c r="C101" s="13" t="str">
        <f t="shared" si="1"/>
        <v>Saturday</v>
      </c>
    </row>
    <row r="102" spans="1:3" ht="15.75" x14ac:dyDescent="0.25">
      <c r="A102" s="21">
        <v>41651.75</v>
      </c>
      <c r="B102" s="14">
        <f t="shared" si="0"/>
        <v>1</v>
      </c>
      <c r="C102" s="13" t="str">
        <f t="shared" si="1"/>
        <v>Sunday</v>
      </c>
    </row>
    <row r="103" spans="1:3" ht="15.75" x14ac:dyDescent="0.25">
      <c r="A103" s="22"/>
      <c r="B103" s="18"/>
      <c r="C103" s="23"/>
    </row>
    <row r="104" spans="1:3" ht="15.75" x14ac:dyDescent="0.25">
      <c r="A104" s="22"/>
      <c r="B104" s="18"/>
      <c r="C104" s="23"/>
    </row>
    <row r="105" spans="1:3" ht="15.75" x14ac:dyDescent="0.25">
      <c r="A105" s="16" t="s">
        <v>91</v>
      </c>
      <c r="B105" s="18"/>
      <c r="C105" s="23"/>
    </row>
    <row r="106" spans="1:3" ht="15.75" x14ac:dyDescent="0.25">
      <c r="A106" t="s">
        <v>92</v>
      </c>
      <c r="B106" s="18"/>
      <c r="C106" s="23"/>
    </row>
    <row r="107" spans="1:3" ht="15.75" x14ac:dyDescent="0.25">
      <c r="A107" t="s">
        <v>81</v>
      </c>
      <c r="B107" s="18"/>
      <c r="C107" s="23"/>
    </row>
    <row r="108" spans="1:3" ht="15.75" x14ac:dyDescent="0.25">
      <c r="B108" s="18"/>
      <c r="C108" s="23"/>
    </row>
    <row r="110" spans="1:3" x14ac:dyDescent="0.25">
      <c r="A110" s="17" t="s">
        <v>95</v>
      </c>
    </row>
    <row r="111" spans="1:3" x14ac:dyDescent="0.25">
      <c r="A111" s="16" t="s">
        <v>82</v>
      </c>
    </row>
    <row r="112" spans="1:3" x14ac:dyDescent="0.25">
      <c r="A112" s="15" t="s">
        <v>73</v>
      </c>
    </row>
    <row r="113" spans="1:2" x14ac:dyDescent="0.25">
      <c r="A113" t="s">
        <v>74</v>
      </c>
    </row>
    <row r="114" spans="1:2" x14ac:dyDescent="0.25">
      <c r="A114" t="s">
        <v>75</v>
      </c>
      <c r="B114" s="15"/>
    </row>
    <row r="115" spans="1:2" x14ac:dyDescent="0.25">
      <c r="A115" t="s">
        <v>77</v>
      </c>
      <c r="B115" s="15"/>
    </row>
    <row r="116" spans="1:2" x14ac:dyDescent="0.25">
      <c r="B116" s="15"/>
    </row>
    <row r="117" spans="1:2" x14ac:dyDescent="0.25">
      <c r="A117" s="16" t="s">
        <v>83</v>
      </c>
      <c r="B117" s="15"/>
    </row>
    <row r="118" spans="1:2" x14ac:dyDescent="0.25">
      <c r="A118" s="15" t="s">
        <v>73</v>
      </c>
      <c r="B118" s="15"/>
    </row>
    <row r="119" spans="1:2" x14ac:dyDescent="0.25">
      <c r="A119" t="s">
        <v>71</v>
      </c>
      <c r="B119" s="15"/>
    </row>
    <row r="120" spans="1:2" x14ac:dyDescent="0.25">
      <c r="A120" t="s">
        <v>75</v>
      </c>
      <c r="B120" s="15"/>
    </row>
    <row r="121" spans="1:2" x14ac:dyDescent="0.25">
      <c r="B121" s="15"/>
    </row>
    <row r="122" spans="1:2" x14ac:dyDescent="0.25">
      <c r="A122" s="16" t="s">
        <v>84</v>
      </c>
      <c r="B122" s="15"/>
    </row>
    <row r="123" spans="1:2" x14ac:dyDescent="0.25">
      <c r="A123" s="16" t="s">
        <v>76</v>
      </c>
    </row>
    <row r="124" spans="1:2" x14ac:dyDescent="0.25">
      <c r="A124" s="15" t="s">
        <v>72</v>
      </c>
    </row>
    <row r="125" spans="1:2" x14ac:dyDescent="0.25">
      <c r="A125" t="s">
        <v>66</v>
      </c>
    </row>
    <row r="126" spans="1:2" x14ac:dyDescent="0.25">
      <c r="A126" t="s">
        <v>67</v>
      </c>
    </row>
  </sheetData>
  <sortState ref="K1:K10">
    <sortCondition ref="K1"/>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Projects Detail</vt:lpstr>
      <vt:lpstr>China Mobile</vt:lpstr>
      <vt:lpstr>Tasks Detail</vt:lpstr>
      <vt:lpstr>ListItems</vt:lpstr>
      <vt:lpstr>China_Mobile_Invoice_Status</vt:lpstr>
      <vt:lpstr>China_Mobile_Status</vt:lpstr>
      <vt:lpstr>Empty</vt:lpstr>
      <vt:lpstr>Percent_Done</vt:lpstr>
      <vt:lpstr>Position</vt:lpstr>
      <vt:lpstr>Priority</vt:lpstr>
      <vt:lpstr>Project_Name</vt:lpstr>
      <vt:lpstr>Project_Status</vt:lpstr>
      <vt:lpstr>Resource_Name</vt:lpstr>
      <vt:lpstr>Task_Status</vt:lpstr>
      <vt:lpstr>Week_Days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Nabil Manzoor</cp:lastModifiedBy>
  <dcterms:created xsi:type="dcterms:W3CDTF">2014-01-15T09:47:20Z</dcterms:created>
  <dcterms:modified xsi:type="dcterms:W3CDTF">2014-02-03T10:41:57Z</dcterms:modified>
</cp:coreProperties>
</file>