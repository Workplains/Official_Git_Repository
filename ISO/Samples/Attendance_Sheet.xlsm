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45" windowWidth="9495" windowHeight="7935"/>
  </bookViews>
  <sheets>
    <sheet name="Detail" sheetId="1" r:id="rId1"/>
    <sheet name="Short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2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F2"/>
  <c r="F3" s="1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O7" i="1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6"/>
  <c r="O5"/>
  <c r="O4"/>
  <c r="O3"/>
  <c r="O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2"/>
  <c r="N2" s="1"/>
  <c r="N3" l="1"/>
  <c r="N4" s="1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</calcChain>
</file>

<file path=xl/sharedStrings.xml><?xml version="1.0" encoding="utf-8"?>
<sst xmlns="http://schemas.openxmlformats.org/spreadsheetml/2006/main" count="86" uniqueCount="17">
  <si>
    <t>Date</t>
  </si>
  <si>
    <t>Time In</t>
  </si>
  <si>
    <t>Break Out</t>
  </si>
  <si>
    <t>Break In</t>
  </si>
  <si>
    <t>Finish Time</t>
  </si>
  <si>
    <t>Net Hours</t>
  </si>
  <si>
    <t>Remarks</t>
  </si>
  <si>
    <t>Total Working Hours</t>
  </si>
  <si>
    <t>Total Working Days</t>
  </si>
  <si>
    <t>Day</t>
  </si>
  <si>
    <t>Wed</t>
  </si>
  <si>
    <t>Thu</t>
  </si>
  <si>
    <t>Fri</t>
  </si>
  <si>
    <t>Sat</t>
  </si>
  <si>
    <t>Sun</t>
  </si>
  <si>
    <t>Mon</t>
  </si>
  <si>
    <t>Tue</t>
  </si>
</sst>
</file>

<file path=xl/styles.xml><?xml version="1.0" encoding="utf-8"?>
<styleSheet xmlns="http://schemas.openxmlformats.org/spreadsheetml/2006/main">
  <numFmts count="3">
    <numFmt numFmtId="168" formatCode="hh:mm\ AM/PM"/>
    <numFmt numFmtId="169" formatCode="hh:mm"/>
    <numFmt numFmtId="172" formatCode="[hh]:mm"/>
  </numFmts>
  <fonts count="4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NumberFormat="1" applyFont="1" applyBorder="1" applyAlignment="1" applyProtection="1">
      <alignment horizontal="center" vertical="center" wrapText="1" readingOrder="1"/>
      <protection locked="0"/>
    </xf>
    <xf numFmtId="0" fontId="2" fillId="0" borderId="0" xfId="0" applyFont="1" applyAlignment="1" applyProtection="1">
      <alignment wrapText="1" readingOrder="1"/>
      <protection locked="0"/>
    </xf>
    <xf numFmtId="0" fontId="2" fillId="0" borderId="0" xfId="0" applyFont="1" applyProtection="1">
      <protection locked="0"/>
    </xf>
    <xf numFmtId="15" fontId="3" fillId="0" borderId="1" xfId="0" applyNumberFormat="1" applyFont="1" applyBorder="1" applyAlignment="1" applyProtection="1">
      <alignment horizontal="center" vertical="center" wrapText="1"/>
      <protection locked="0"/>
    </xf>
    <xf numFmtId="168" fontId="3" fillId="0" borderId="1" xfId="0" applyNumberFormat="1" applyFont="1" applyBorder="1" applyAlignment="1" applyProtection="1">
      <alignment horizontal="center" vertical="center" wrapText="1"/>
      <protection locked="0"/>
    </xf>
    <xf numFmtId="169" fontId="3" fillId="0" borderId="1" xfId="0" applyNumberFormat="1" applyFont="1" applyBorder="1" applyAlignment="1" applyProtection="1">
      <alignment horizontal="center" vertical="center" wrapText="1"/>
    </xf>
    <xf numFmtId="1" fontId="3" fillId="0" borderId="1" xfId="0" applyNumberFormat="1" applyFont="1" applyBorder="1" applyAlignment="1" applyProtection="1">
      <alignment horizontal="center" vertical="center" wrapText="1"/>
    </xf>
    <xf numFmtId="168" fontId="2" fillId="0" borderId="1" xfId="0" applyNumberFormat="1" applyFont="1" applyBorder="1" applyAlignment="1" applyProtection="1">
      <alignment horizontal="center" vertical="center" wrapText="1"/>
      <protection locked="0"/>
    </xf>
    <xf numFmtId="15" fontId="2" fillId="0" borderId="0" xfId="0" applyNumberFormat="1" applyFont="1" applyAlignment="1" applyProtection="1">
      <alignment horizontal="center" vertical="center"/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2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172" fontId="3" fillId="0" borderId="1" xfId="0" applyNumberFormat="1" applyFont="1" applyBorder="1" applyAlignment="1" applyProtection="1">
      <alignment horizontal="center" vertical="center" wrapText="1"/>
    </xf>
    <xf numFmtId="0" fontId="3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0" xfId="0" applyNumberFormat="1" applyFon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32"/>
  <sheetViews>
    <sheetView showGridLines="0" tabSelected="1" workbookViewId="0"/>
  </sheetViews>
  <sheetFormatPr defaultRowHeight="15.75"/>
  <cols>
    <col min="1" max="1" width="10" style="9" bestFit="1" customWidth="1"/>
    <col min="2" max="2" width="5.28515625" style="17" bestFit="1" customWidth="1"/>
    <col min="3" max="3" width="9.85546875" style="10" bestFit="1" customWidth="1"/>
    <col min="4" max="4" width="10.85546875" style="10" bestFit="1" customWidth="1"/>
    <col min="5" max="5" width="9.7109375" style="10" bestFit="1" customWidth="1"/>
    <col min="6" max="6" width="10.85546875" style="10" bestFit="1" customWidth="1"/>
    <col min="7" max="7" width="9.7109375" style="10" bestFit="1" customWidth="1"/>
    <col min="8" max="8" width="10.85546875" style="10" bestFit="1" customWidth="1"/>
    <col min="9" max="9" width="9.7109375" style="10" bestFit="1" customWidth="1"/>
    <col min="10" max="10" width="10.85546875" style="10" bestFit="1" customWidth="1"/>
    <col min="11" max="11" width="9.7109375" style="10" bestFit="1" customWidth="1"/>
    <col min="12" max="12" width="11.85546875" style="10" bestFit="1" customWidth="1"/>
    <col min="13" max="13" width="10.85546875" style="11" customWidth="1"/>
    <col min="14" max="14" width="15.7109375" style="11" bestFit="1" customWidth="1"/>
    <col min="15" max="15" width="15.7109375" style="12" bestFit="1" customWidth="1"/>
    <col min="16" max="16" width="30.7109375" style="14" customWidth="1"/>
    <col min="17" max="16384" width="9.140625" style="3"/>
  </cols>
  <sheetData>
    <row r="1" spans="1:16" s="2" customFormat="1" ht="31.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2</v>
      </c>
      <c r="G1" s="1" t="s">
        <v>3</v>
      </c>
      <c r="H1" s="1" t="s">
        <v>2</v>
      </c>
      <c r="I1" s="1" t="s">
        <v>3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6</v>
      </c>
    </row>
    <row r="2" spans="1:16">
      <c r="A2" s="4">
        <v>41640</v>
      </c>
      <c r="B2" s="16" t="s">
        <v>10</v>
      </c>
      <c r="C2" s="5">
        <v>0.375</v>
      </c>
      <c r="D2" s="5">
        <v>0.54166666666666663</v>
      </c>
      <c r="E2" s="5">
        <v>0.58333333333333337</v>
      </c>
      <c r="F2" s="5">
        <v>0.66666666666666663</v>
      </c>
      <c r="G2" s="5">
        <v>0.6875</v>
      </c>
      <c r="H2" s="5">
        <v>0.70833333333333337</v>
      </c>
      <c r="I2" s="5">
        <v>0.72916666666666663</v>
      </c>
      <c r="J2" s="5">
        <v>0.72916666666666663</v>
      </c>
      <c r="K2" s="5">
        <v>0.75</v>
      </c>
      <c r="L2" s="5">
        <v>0.75</v>
      </c>
      <c r="M2" s="6">
        <f>(L2-C2)-((E2-D2)+(G2-F2)+(I2-H2)+(K2-J2))</f>
        <v>0.27083333333333326</v>
      </c>
      <c r="N2" s="15">
        <f>+M2</f>
        <v>0.27083333333333326</v>
      </c>
      <c r="O2" s="7">
        <f>COUNT(L2)</f>
        <v>1</v>
      </c>
      <c r="P2" s="13"/>
    </row>
    <row r="3" spans="1:16">
      <c r="A3" s="4">
        <v>41641</v>
      </c>
      <c r="B3" s="16" t="s">
        <v>11</v>
      </c>
      <c r="C3" s="5"/>
      <c r="D3" s="5"/>
      <c r="E3" s="5"/>
      <c r="F3" s="5"/>
      <c r="G3" s="5"/>
      <c r="H3" s="5"/>
      <c r="I3" s="5"/>
      <c r="J3" s="5"/>
      <c r="K3" s="5"/>
      <c r="L3" s="5"/>
      <c r="M3" s="6">
        <f t="shared" ref="M3:M32" si="0">(L3-C3)-((E3-D3)+(G3-F3)+(I3-H3)+(K3-J3))</f>
        <v>0</v>
      </c>
      <c r="N3" s="15">
        <f>+N2+M3</f>
        <v>0.27083333333333326</v>
      </c>
      <c r="O3" s="7">
        <f>COUNT($L$2:L3)</f>
        <v>1</v>
      </c>
      <c r="P3" s="13"/>
    </row>
    <row r="4" spans="1:16">
      <c r="A4" s="4">
        <v>41642</v>
      </c>
      <c r="B4" s="16" t="s">
        <v>12</v>
      </c>
      <c r="C4" s="5"/>
      <c r="D4" s="8"/>
      <c r="E4" s="8"/>
      <c r="F4" s="8"/>
      <c r="G4" s="8"/>
      <c r="H4" s="8"/>
      <c r="I4" s="8"/>
      <c r="J4" s="8"/>
      <c r="K4" s="8"/>
      <c r="L4" s="5"/>
      <c r="M4" s="6">
        <f t="shared" si="0"/>
        <v>0</v>
      </c>
      <c r="N4" s="15">
        <f t="shared" ref="N4:N32" si="1">+N3+M4</f>
        <v>0.27083333333333326</v>
      </c>
      <c r="O4" s="7">
        <f>COUNT($L$2:L4)</f>
        <v>1</v>
      </c>
      <c r="P4" s="13"/>
    </row>
    <row r="5" spans="1:16">
      <c r="A5" s="4">
        <v>41643</v>
      </c>
      <c r="B5" s="16" t="s">
        <v>13</v>
      </c>
      <c r="C5" s="5"/>
      <c r="D5" s="8"/>
      <c r="E5" s="8"/>
      <c r="F5" s="8"/>
      <c r="G5" s="8"/>
      <c r="H5" s="8"/>
      <c r="I5" s="8"/>
      <c r="J5" s="8"/>
      <c r="K5" s="8"/>
      <c r="L5" s="5"/>
      <c r="M5" s="6">
        <f t="shared" si="0"/>
        <v>0</v>
      </c>
      <c r="N5" s="15">
        <f t="shared" si="1"/>
        <v>0.27083333333333326</v>
      </c>
      <c r="O5" s="7">
        <f>COUNT($L$2:L5)</f>
        <v>1</v>
      </c>
      <c r="P5" s="13"/>
    </row>
    <row r="6" spans="1:16">
      <c r="A6" s="4">
        <v>41644</v>
      </c>
      <c r="B6" s="16" t="s">
        <v>14</v>
      </c>
      <c r="C6" s="8"/>
      <c r="D6" s="8"/>
      <c r="E6" s="8"/>
      <c r="F6" s="8"/>
      <c r="G6" s="8"/>
      <c r="H6" s="8"/>
      <c r="I6" s="8"/>
      <c r="J6" s="8"/>
      <c r="K6" s="8"/>
      <c r="L6" s="5"/>
      <c r="M6" s="6">
        <f t="shared" si="0"/>
        <v>0</v>
      </c>
      <c r="N6" s="15">
        <f t="shared" si="1"/>
        <v>0.27083333333333326</v>
      </c>
      <c r="O6" s="7">
        <f>COUNT($L$2:L6)</f>
        <v>1</v>
      </c>
      <c r="P6" s="13"/>
    </row>
    <row r="7" spans="1:16">
      <c r="A7" s="4">
        <v>41645</v>
      </c>
      <c r="B7" s="16" t="s">
        <v>15</v>
      </c>
      <c r="C7" s="8"/>
      <c r="D7" s="8"/>
      <c r="E7" s="8"/>
      <c r="F7" s="8"/>
      <c r="G7" s="8"/>
      <c r="H7" s="8"/>
      <c r="I7" s="8"/>
      <c r="J7" s="8"/>
      <c r="K7" s="8"/>
      <c r="L7" s="5"/>
      <c r="M7" s="6">
        <f t="shared" si="0"/>
        <v>0</v>
      </c>
      <c r="N7" s="15">
        <f t="shared" si="1"/>
        <v>0.27083333333333326</v>
      </c>
      <c r="O7" s="7">
        <f>COUNT($L$2:L7)</f>
        <v>1</v>
      </c>
      <c r="P7" s="13"/>
    </row>
    <row r="8" spans="1:16">
      <c r="A8" s="4">
        <v>41646</v>
      </c>
      <c r="B8" s="16" t="s">
        <v>16</v>
      </c>
      <c r="C8" s="8"/>
      <c r="D8" s="8"/>
      <c r="E8" s="8"/>
      <c r="F8" s="8"/>
      <c r="G8" s="8"/>
      <c r="H8" s="8"/>
      <c r="I8" s="8"/>
      <c r="J8" s="8"/>
      <c r="K8" s="8"/>
      <c r="L8" s="5"/>
      <c r="M8" s="6">
        <f t="shared" si="0"/>
        <v>0</v>
      </c>
      <c r="N8" s="15">
        <f t="shared" si="1"/>
        <v>0.27083333333333326</v>
      </c>
      <c r="O8" s="7">
        <f>COUNT($L$2:L8)</f>
        <v>1</v>
      </c>
      <c r="P8" s="13"/>
    </row>
    <row r="9" spans="1:16">
      <c r="A9" s="4">
        <v>41647</v>
      </c>
      <c r="B9" s="16" t="s">
        <v>10</v>
      </c>
      <c r="C9" s="8"/>
      <c r="D9" s="8"/>
      <c r="E9" s="8"/>
      <c r="F9" s="8"/>
      <c r="G9" s="8"/>
      <c r="H9" s="8"/>
      <c r="I9" s="8"/>
      <c r="J9" s="8"/>
      <c r="K9" s="8"/>
      <c r="L9" s="5"/>
      <c r="M9" s="6">
        <f t="shared" si="0"/>
        <v>0</v>
      </c>
      <c r="N9" s="15">
        <f t="shared" si="1"/>
        <v>0.27083333333333326</v>
      </c>
      <c r="O9" s="7">
        <f>COUNT($L$2:L9)</f>
        <v>1</v>
      </c>
      <c r="P9" s="13"/>
    </row>
    <row r="10" spans="1:16">
      <c r="A10" s="4">
        <v>41648</v>
      </c>
      <c r="B10" s="16" t="s">
        <v>11</v>
      </c>
      <c r="C10" s="8"/>
      <c r="D10" s="8"/>
      <c r="E10" s="8"/>
      <c r="F10" s="8"/>
      <c r="G10" s="8"/>
      <c r="H10" s="8"/>
      <c r="I10" s="8"/>
      <c r="J10" s="8"/>
      <c r="K10" s="8"/>
      <c r="L10" s="5"/>
      <c r="M10" s="6">
        <f t="shared" si="0"/>
        <v>0</v>
      </c>
      <c r="N10" s="15">
        <f t="shared" si="1"/>
        <v>0.27083333333333326</v>
      </c>
      <c r="O10" s="7">
        <f>COUNT($L$2:L10)</f>
        <v>1</v>
      </c>
      <c r="P10" s="13"/>
    </row>
    <row r="11" spans="1:16">
      <c r="A11" s="4">
        <v>41649</v>
      </c>
      <c r="B11" s="16" t="s">
        <v>12</v>
      </c>
      <c r="C11" s="8"/>
      <c r="D11" s="8"/>
      <c r="E11" s="8"/>
      <c r="F11" s="8"/>
      <c r="G11" s="8"/>
      <c r="H11" s="8"/>
      <c r="I11" s="8"/>
      <c r="J11" s="8"/>
      <c r="K11" s="8"/>
      <c r="L11" s="5"/>
      <c r="M11" s="6">
        <f t="shared" si="0"/>
        <v>0</v>
      </c>
      <c r="N11" s="15">
        <f t="shared" si="1"/>
        <v>0.27083333333333326</v>
      </c>
      <c r="O11" s="7">
        <f>COUNT($L$2:L11)</f>
        <v>1</v>
      </c>
      <c r="P11" s="13"/>
    </row>
    <row r="12" spans="1:16">
      <c r="A12" s="4">
        <v>41650</v>
      </c>
      <c r="B12" s="16" t="s">
        <v>13</v>
      </c>
      <c r="C12" s="8"/>
      <c r="D12" s="8"/>
      <c r="E12" s="8"/>
      <c r="F12" s="8"/>
      <c r="G12" s="8"/>
      <c r="H12" s="8"/>
      <c r="I12" s="8"/>
      <c r="J12" s="8"/>
      <c r="K12" s="8"/>
      <c r="L12" s="5"/>
      <c r="M12" s="6">
        <f t="shared" si="0"/>
        <v>0</v>
      </c>
      <c r="N12" s="15">
        <f t="shared" si="1"/>
        <v>0.27083333333333326</v>
      </c>
      <c r="O12" s="7">
        <f>COUNT($L$2:L12)</f>
        <v>1</v>
      </c>
      <c r="P12" s="13"/>
    </row>
    <row r="13" spans="1:16">
      <c r="A13" s="4">
        <v>41651</v>
      </c>
      <c r="B13" s="16" t="s">
        <v>14</v>
      </c>
      <c r="C13" s="8"/>
      <c r="D13" s="8"/>
      <c r="E13" s="8"/>
      <c r="F13" s="8"/>
      <c r="G13" s="8"/>
      <c r="H13" s="8"/>
      <c r="I13" s="8"/>
      <c r="J13" s="8"/>
      <c r="K13" s="8"/>
      <c r="L13" s="5"/>
      <c r="M13" s="6">
        <f t="shared" si="0"/>
        <v>0</v>
      </c>
      <c r="N13" s="15">
        <f t="shared" si="1"/>
        <v>0.27083333333333326</v>
      </c>
      <c r="O13" s="7">
        <f>COUNT($L$2:L13)</f>
        <v>1</v>
      </c>
      <c r="P13" s="13"/>
    </row>
    <row r="14" spans="1:16">
      <c r="A14" s="4">
        <v>41652</v>
      </c>
      <c r="B14" s="16" t="s">
        <v>15</v>
      </c>
      <c r="C14" s="8"/>
      <c r="D14" s="8"/>
      <c r="E14" s="8"/>
      <c r="F14" s="8"/>
      <c r="G14" s="8"/>
      <c r="H14" s="8"/>
      <c r="I14" s="8"/>
      <c r="J14" s="8"/>
      <c r="K14" s="8"/>
      <c r="L14" s="5"/>
      <c r="M14" s="6">
        <f t="shared" si="0"/>
        <v>0</v>
      </c>
      <c r="N14" s="15">
        <f t="shared" si="1"/>
        <v>0.27083333333333326</v>
      </c>
      <c r="O14" s="7">
        <f>COUNT($L$2:L14)</f>
        <v>1</v>
      </c>
      <c r="P14" s="13"/>
    </row>
    <row r="15" spans="1:16">
      <c r="A15" s="4">
        <v>41653</v>
      </c>
      <c r="B15" s="16" t="s">
        <v>16</v>
      </c>
      <c r="C15" s="8"/>
      <c r="D15" s="8"/>
      <c r="E15" s="8"/>
      <c r="F15" s="8"/>
      <c r="G15" s="8"/>
      <c r="H15" s="8"/>
      <c r="I15" s="8"/>
      <c r="J15" s="8"/>
      <c r="K15" s="8"/>
      <c r="L15" s="5"/>
      <c r="M15" s="6">
        <f t="shared" si="0"/>
        <v>0</v>
      </c>
      <c r="N15" s="15">
        <f t="shared" si="1"/>
        <v>0.27083333333333326</v>
      </c>
      <c r="O15" s="7">
        <f>COUNT($L$2:L15)</f>
        <v>1</v>
      </c>
      <c r="P15" s="13"/>
    </row>
    <row r="16" spans="1:16">
      <c r="A16" s="4">
        <v>41654</v>
      </c>
      <c r="B16" s="16" t="s">
        <v>10</v>
      </c>
      <c r="C16" s="8"/>
      <c r="D16" s="8"/>
      <c r="E16" s="8"/>
      <c r="F16" s="8"/>
      <c r="G16" s="8"/>
      <c r="H16" s="8"/>
      <c r="I16" s="8"/>
      <c r="J16" s="8"/>
      <c r="K16" s="8"/>
      <c r="L16" s="5"/>
      <c r="M16" s="6">
        <f t="shared" si="0"/>
        <v>0</v>
      </c>
      <c r="N16" s="15">
        <f t="shared" si="1"/>
        <v>0.27083333333333326</v>
      </c>
      <c r="O16" s="7">
        <f>COUNT($L$2:L16)</f>
        <v>1</v>
      </c>
      <c r="P16" s="13"/>
    </row>
    <row r="17" spans="1:16">
      <c r="A17" s="4">
        <v>41655</v>
      </c>
      <c r="B17" s="16" t="s">
        <v>11</v>
      </c>
      <c r="C17" s="8"/>
      <c r="D17" s="8"/>
      <c r="E17" s="8"/>
      <c r="F17" s="8"/>
      <c r="G17" s="8"/>
      <c r="H17" s="8"/>
      <c r="I17" s="8"/>
      <c r="J17" s="8"/>
      <c r="K17" s="8"/>
      <c r="L17" s="5"/>
      <c r="M17" s="6">
        <f t="shared" si="0"/>
        <v>0</v>
      </c>
      <c r="N17" s="15">
        <f t="shared" si="1"/>
        <v>0.27083333333333326</v>
      </c>
      <c r="O17" s="7">
        <f>COUNT($L$2:L17)</f>
        <v>1</v>
      </c>
      <c r="P17" s="13"/>
    </row>
    <row r="18" spans="1:16">
      <c r="A18" s="4">
        <v>41656</v>
      </c>
      <c r="B18" s="16" t="s">
        <v>12</v>
      </c>
      <c r="C18" s="8"/>
      <c r="D18" s="8"/>
      <c r="E18" s="8"/>
      <c r="F18" s="8"/>
      <c r="G18" s="8"/>
      <c r="H18" s="8"/>
      <c r="I18" s="8"/>
      <c r="J18" s="8"/>
      <c r="K18" s="8"/>
      <c r="L18" s="5"/>
      <c r="M18" s="6">
        <f t="shared" si="0"/>
        <v>0</v>
      </c>
      <c r="N18" s="15">
        <f t="shared" si="1"/>
        <v>0.27083333333333326</v>
      </c>
      <c r="O18" s="7">
        <f>COUNT($L$2:L18)</f>
        <v>1</v>
      </c>
      <c r="P18" s="13"/>
    </row>
    <row r="19" spans="1:16">
      <c r="A19" s="4">
        <v>41657</v>
      </c>
      <c r="B19" s="16" t="s">
        <v>13</v>
      </c>
      <c r="C19" s="8"/>
      <c r="D19" s="8"/>
      <c r="E19" s="8"/>
      <c r="F19" s="8"/>
      <c r="G19" s="8"/>
      <c r="H19" s="8"/>
      <c r="I19" s="8"/>
      <c r="J19" s="8"/>
      <c r="K19" s="8"/>
      <c r="L19" s="5"/>
      <c r="M19" s="6">
        <f t="shared" si="0"/>
        <v>0</v>
      </c>
      <c r="N19" s="15">
        <f t="shared" si="1"/>
        <v>0.27083333333333326</v>
      </c>
      <c r="O19" s="7">
        <f>COUNT($L$2:L19)</f>
        <v>1</v>
      </c>
      <c r="P19" s="13"/>
    </row>
    <row r="20" spans="1:16">
      <c r="A20" s="4">
        <v>41658</v>
      </c>
      <c r="B20" s="16" t="s">
        <v>14</v>
      </c>
      <c r="C20" s="8"/>
      <c r="D20" s="8"/>
      <c r="E20" s="8"/>
      <c r="F20" s="8"/>
      <c r="G20" s="8"/>
      <c r="H20" s="8"/>
      <c r="I20" s="8"/>
      <c r="J20" s="8"/>
      <c r="K20" s="8"/>
      <c r="L20" s="5"/>
      <c r="M20" s="6">
        <f t="shared" si="0"/>
        <v>0</v>
      </c>
      <c r="N20" s="15">
        <f t="shared" si="1"/>
        <v>0.27083333333333326</v>
      </c>
      <c r="O20" s="7">
        <f>COUNT($L$2:L20)</f>
        <v>1</v>
      </c>
      <c r="P20" s="13"/>
    </row>
    <row r="21" spans="1:16">
      <c r="A21" s="4">
        <v>41659</v>
      </c>
      <c r="B21" s="16" t="s">
        <v>15</v>
      </c>
      <c r="C21" s="8"/>
      <c r="D21" s="8"/>
      <c r="E21" s="8"/>
      <c r="F21" s="8"/>
      <c r="G21" s="8"/>
      <c r="H21" s="8"/>
      <c r="I21" s="8"/>
      <c r="J21" s="8"/>
      <c r="K21" s="8"/>
      <c r="L21" s="5"/>
      <c r="M21" s="6">
        <f t="shared" si="0"/>
        <v>0</v>
      </c>
      <c r="N21" s="15">
        <f t="shared" si="1"/>
        <v>0.27083333333333326</v>
      </c>
      <c r="O21" s="7">
        <f>COUNT($L$2:L21)</f>
        <v>1</v>
      </c>
      <c r="P21" s="13"/>
    </row>
    <row r="22" spans="1:16">
      <c r="A22" s="4">
        <v>41660</v>
      </c>
      <c r="B22" s="16" t="s">
        <v>16</v>
      </c>
      <c r="C22" s="8"/>
      <c r="D22" s="8"/>
      <c r="E22" s="8"/>
      <c r="F22" s="8"/>
      <c r="G22" s="8"/>
      <c r="H22" s="8"/>
      <c r="I22" s="8"/>
      <c r="J22" s="8"/>
      <c r="K22" s="8"/>
      <c r="L22" s="5"/>
      <c r="M22" s="6">
        <f t="shared" si="0"/>
        <v>0</v>
      </c>
      <c r="N22" s="15">
        <f t="shared" si="1"/>
        <v>0.27083333333333326</v>
      </c>
      <c r="O22" s="7">
        <f>COUNT($L$2:L22)</f>
        <v>1</v>
      </c>
      <c r="P22" s="13"/>
    </row>
    <row r="23" spans="1:16">
      <c r="A23" s="4">
        <v>41661</v>
      </c>
      <c r="B23" s="16" t="s">
        <v>10</v>
      </c>
      <c r="C23" s="8"/>
      <c r="D23" s="8"/>
      <c r="E23" s="8"/>
      <c r="F23" s="8"/>
      <c r="G23" s="8"/>
      <c r="H23" s="8"/>
      <c r="I23" s="8"/>
      <c r="J23" s="8"/>
      <c r="K23" s="8"/>
      <c r="L23" s="5"/>
      <c r="M23" s="6">
        <f t="shared" si="0"/>
        <v>0</v>
      </c>
      <c r="N23" s="15">
        <f t="shared" si="1"/>
        <v>0.27083333333333326</v>
      </c>
      <c r="O23" s="7">
        <f>COUNT($L$2:L23)</f>
        <v>1</v>
      </c>
      <c r="P23" s="13"/>
    </row>
    <row r="24" spans="1:16">
      <c r="A24" s="4">
        <v>41662</v>
      </c>
      <c r="B24" s="16" t="s">
        <v>11</v>
      </c>
      <c r="C24" s="8"/>
      <c r="D24" s="8"/>
      <c r="E24" s="8"/>
      <c r="F24" s="8"/>
      <c r="G24" s="8"/>
      <c r="H24" s="8"/>
      <c r="I24" s="8"/>
      <c r="J24" s="8"/>
      <c r="K24" s="8"/>
      <c r="L24" s="5"/>
      <c r="M24" s="6">
        <f t="shared" si="0"/>
        <v>0</v>
      </c>
      <c r="N24" s="15">
        <f t="shared" si="1"/>
        <v>0.27083333333333326</v>
      </c>
      <c r="O24" s="7">
        <f>COUNT($L$2:L24)</f>
        <v>1</v>
      </c>
      <c r="P24" s="13"/>
    </row>
    <row r="25" spans="1:16">
      <c r="A25" s="4">
        <v>41663</v>
      </c>
      <c r="B25" s="16" t="s">
        <v>12</v>
      </c>
      <c r="C25" s="8"/>
      <c r="D25" s="8"/>
      <c r="E25" s="8"/>
      <c r="F25" s="8"/>
      <c r="G25" s="8"/>
      <c r="H25" s="8"/>
      <c r="I25" s="8"/>
      <c r="J25" s="8"/>
      <c r="K25" s="8"/>
      <c r="L25" s="5"/>
      <c r="M25" s="6">
        <f t="shared" si="0"/>
        <v>0</v>
      </c>
      <c r="N25" s="15">
        <f t="shared" si="1"/>
        <v>0.27083333333333326</v>
      </c>
      <c r="O25" s="7">
        <f>COUNT($L$2:L25)</f>
        <v>1</v>
      </c>
      <c r="P25" s="13"/>
    </row>
    <row r="26" spans="1:16">
      <c r="A26" s="4">
        <v>41664</v>
      </c>
      <c r="B26" s="16" t="s">
        <v>13</v>
      </c>
      <c r="C26" s="8"/>
      <c r="D26" s="8"/>
      <c r="E26" s="8"/>
      <c r="F26" s="8"/>
      <c r="G26" s="8"/>
      <c r="H26" s="8"/>
      <c r="I26" s="8"/>
      <c r="J26" s="8"/>
      <c r="K26" s="8"/>
      <c r="L26" s="5"/>
      <c r="M26" s="6">
        <f t="shared" si="0"/>
        <v>0</v>
      </c>
      <c r="N26" s="15">
        <f t="shared" si="1"/>
        <v>0.27083333333333326</v>
      </c>
      <c r="O26" s="7">
        <f>COUNT($L$2:L26)</f>
        <v>1</v>
      </c>
      <c r="P26" s="13"/>
    </row>
    <row r="27" spans="1:16">
      <c r="A27" s="4">
        <v>41665</v>
      </c>
      <c r="B27" s="16" t="s">
        <v>14</v>
      </c>
      <c r="C27" s="8"/>
      <c r="D27" s="8"/>
      <c r="E27" s="8"/>
      <c r="F27" s="8"/>
      <c r="G27" s="8"/>
      <c r="H27" s="8"/>
      <c r="I27" s="8"/>
      <c r="J27" s="8"/>
      <c r="K27" s="8"/>
      <c r="L27" s="5"/>
      <c r="M27" s="6">
        <f t="shared" si="0"/>
        <v>0</v>
      </c>
      <c r="N27" s="15">
        <f t="shared" si="1"/>
        <v>0.27083333333333326</v>
      </c>
      <c r="O27" s="7">
        <f>COUNT($L$2:L27)</f>
        <v>1</v>
      </c>
      <c r="P27" s="13"/>
    </row>
    <row r="28" spans="1:16">
      <c r="A28" s="4">
        <v>41666</v>
      </c>
      <c r="B28" s="16" t="s">
        <v>15</v>
      </c>
      <c r="C28" s="8"/>
      <c r="D28" s="8"/>
      <c r="E28" s="8"/>
      <c r="F28" s="8"/>
      <c r="G28" s="8"/>
      <c r="H28" s="8"/>
      <c r="I28" s="8"/>
      <c r="J28" s="8"/>
      <c r="K28" s="8"/>
      <c r="L28" s="5"/>
      <c r="M28" s="6">
        <f t="shared" si="0"/>
        <v>0</v>
      </c>
      <c r="N28" s="15">
        <f t="shared" si="1"/>
        <v>0.27083333333333326</v>
      </c>
      <c r="O28" s="7">
        <f>COUNT($L$2:L28)</f>
        <v>1</v>
      </c>
      <c r="P28" s="13"/>
    </row>
    <row r="29" spans="1:16">
      <c r="A29" s="4">
        <v>41667</v>
      </c>
      <c r="B29" s="16" t="s">
        <v>16</v>
      </c>
      <c r="C29" s="8"/>
      <c r="D29" s="8"/>
      <c r="E29" s="8"/>
      <c r="F29" s="8"/>
      <c r="G29" s="8"/>
      <c r="H29" s="8"/>
      <c r="I29" s="8"/>
      <c r="J29" s="8"/>
      <c r="K29" s="8"/>
      <c r="L29" s="5"/>
      <c r="M29" s="6">
        <f t="shared" si="0"/>
        <v>0</v>
      </c>
      <c r="N29" s="15">
        <f t="shared" si="1"/>
        <v>0.27083333333333326</v>
      </c>
      <c r="O29" s="7">
        <f>COUNT($L$2:L29)</f>
        <v>1</v>
      </c>
      <c r="P29" s="13"/>
    </row>
    <row r="30" spans="1:16">
      <c r="A30" s="4">
        <v>41668</v>
      </c>
      <c r="B30" s="16" t="s">
        <v>10</v>
      </c>
      <c r="C30" s="8"/>
      <c r="D30" s="8"/>
      <c r="E30" s="8"/>
      <c r="F30" s="8"/>
      <c r="G30" s="8"/>
      <c r="H30" s="8"/>
      <c r="I30" s="8"/>
      <c r="J30" s="8"/>
      <c r="K30" s="8"/>
      <c r="L30" s="5"/>
      <c r="M30" s="6">
        <f t="shared" si="0"/>
        <v>0</v>
      </c>
      <c r="N30" s="15">
        <f t="shared" si="1"/>
        <v>0.27083333333333326</v>
      </c>
      <c r="O30" s="7">
        <f>COUNT($L$2:L30)</f>
        <v>1</v>
      </c>
      <c r="P30" s="13"/>
    </row>
    <row r="31" spans="1:16">
      <c r="A31" s="4">
        <v>41669</v>
      </c>
      <c r="B31" s="16" t="s">
        <v>11</v>
      </c>
      <c r="C31" s="8"/>
      <c r="D31" s="8"/>
      <c r="E31" s="8"/>
      <c r="F31" s="8"/>
      <c r="G31" s="8"/>
      <c r="H31" s="8"/>
      <c r="I31" s="8"/>
      <c r="J31" s="8"/>
      <c r="K31" s="8"/>
      <c r="L31" s="5"/>
      <c r="M31" s="6">
        <f t="shared" si="0"/>
        <v>0</v>
      </c>
      <c r="N31" s="15">
        <f t="shared" si="1"/>
        <v>0.27083333333333326</v>
      </c>
      <c r="O31" s="7">
        <f>COUNT($L$2:L31)</f>
        <v>1</v>
      </c>
      <c r="P31" s="13"/>
    </row>
    <row r="32" spans="1:16">
      <c r="A32" s="4">
        <v>41670</v>
      </c>
      <c r="B32" s="16" t="s">
        <v>12</v>
      </c>
      <c r="C32" s="8"/>
      <c r="D32" s="8"/>
      <c r="E32" s="8"/>
      <c r="F32" s="8"/>
      <c r="G32" s="8"/>
      <c r="H32" s="8"/>
      <c r="I32" s="8"/>
      <c r="J32" s="8"/>
      <c r="K32" s="8"/>
      <c r="L32" s="5"/>
      <c r="M32" s="6">
        <f t="shared" si="0"/>
        <v>0</v>
      </c>
      <c r="N32" s="15">
        <f t="shared" si="1"/>
        <v>0.27083333333333326</v>
      </c>
      <c r="O32" s="7">
        <f>COUNT($L$2:L32)</f>
        <v>1</v>
      </c>
      <c r="P32" s="13"/>
    </row>
  </sheetData>
  <sheetProtection password="CF67" sheet="1" objects="1" scenarios="1"/>
  <pageMargins left="0.7" right="0.7" top="0.75" bottom="0.75" header="0.3" footer="0.3"/>
  <pageSetup orientation="portrait" horizontalDpi="300" verticalDpi="300" r:id="rId1"/>
  <ignoredErrors>
    <ignoredError sqref="O3:O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H32"/>
  <sheetViews>
    <sheetView showGridLines="0" workbookViewId="0"/>
  </sheetViews>
  <sheetFormatPr defaultRowHeight="15.75"/>
  <cols>
    <col min="1" max="1" width="10" style="9" bestFit="1" customWidth="1"/>
    <col min="2" max="2" width="5.28515625" style="17" bestFit="1" customWidth="1"/>
    <col min="3" max="3" width="9.85546875" style="10" bestFit="1" customWidth="1"/>
    <col min="4" max="4" width="11.85546875" style="10" bestFit="1" customWidth="1"/>
    <col min="5" max="5" width="10.85546875" style="11" customWidth="1"/>
    <col min="6" max="6" width="15.7109375" style="11" bestFit="1" customWidth="1"/>
    <col min="7" max="7" width="15.7109375" style="12" bestFit="1" customWidth="1"/>
    <col min="8" max="8" width="50.7109375" style="14" customWidth="1"/>
    <col min="9" max="16384" width="9.140625" style="3"/>
  </cols>
  <sheetData>
    <row r="1" spans="1:8" s="2" customFormat="1" ht="31.5">
      <c r="A1" s="1" t="s">
        <v>0</v>
      </c>
      <c r="B1" s="1" t="s">
        <v>9</v>
      </c>
      <c r="C1" s="1" t="s">
        <v>1</v>
      </c>
      <c r="D1" s="1" t="s">
        <v>4</v>
      </c>
      <c r="E1" s="1" t="s">
        <v>5</v>
      </c>
      <c r="F1" s="1" t="s">
        <v>7</v>
      </c>
      <c r="G1" s="1" t="s">
        <v>8</v>
      </c>
      <c r="H1" s="1" t="s">
        <v>6</v>
      </c>
    </row>
    <row r="2" spans="1:8">
      <c r="A2" s="4">
        <v>41640</v>
      </c>
      <c r="B2" s="16" t="s">
        <v>10</v>
      </c>
      <c r="C2" s="5">
        <v>0.375</v>
      </c>
      <c r="D2" s="5">
        <v>0.75</v>
      </c>
      <c r="E2" s="6">
        <f>(D2-C2)</f>
        <v>0.375</v>
      </c>
      <c r="F2" s="15">
        <f>+E2</f>
        <v>0.375</v>
      </c>
      <c r="G2" s="7">
        <f>COUNT(D2)</f>
        <v>1</v>
      </c>
      <c r="H2" s="13"/>
    </row>
    <row r="3" spans="1:8">
      <c r="A3" s="4">
        <v>41641</v>
      </c>
      <c r="B3" s="16" t="s">
        <v>11</v>
      </c>
      <c r="C3" s="5"/>
      <c r="D3" s="5"/>
      <c r="E3" s="6">
        <f t="shared" ref="E3:E32" si="0">(D3-C3)</f>
        <v>0</v>
      </c>
      <c r="F3" s="15">
        <f>+F2+E3</f>
        <v>0.375</v>
      </c>
      <c r="G3" s="7">
        <f>COUNT($D$2:D3)</f>
        <v>1</v>
      </c>
      <c r="H3" s="13"/>
    </row>
    <row r="4" spans="1:8">
      <c r="A4" s="4">
        <v>41642</v>
      </c>
      <c r="B4" s="16" t="s">
        <v>12</v>
      </c>
      <c r="C4" s="5"/>
      <c r="D4" s="5"/>
      <c r="E4" s="6">
        <f t="shared" si="0"/>
        <v>0</v>
      </c>
      <c r="F4" s="15">
        <f t="shared" ref="F4:F32" si="1">+F3+E4</f>
        <v>0.375</v>
      </c>
      <c r="G4" s="7">
        <f>COUNT($D$2:D4)</f>
        <v>1</v>
      </c>
      <c r="H4" s="13"/>
    </row>
    <row r="5" spans="1:8">
      <c r="A5" s="4">
        <v>41643</v>
      </c>
      <c r="B5" s="16" t="s">
        <v>13</v>
      </c>
      <c r="C5" s="5"/>
      <c r="D5" s="5"/>
      <c r="E5" s="6">
        <f t="shared" si="0"/>
        <v>0</v>
      </c>
      <c r="F5" s="15">
        <f t="shared" si="1"/>
        <v>0.375</v>
      </c>
      <c r="G5" s="7">
        <f>COUNT($D$2:D5)</f>
        <v>1</v>
      </c>
      <c r="H5" s="13"/>
    </row>
    <row r="6" spans="1:8">
      <c r="A6" s="4">
        <v>41644</v>
      </c>
      <c r="B6" s="16" t="s">
        <v>14</v>
      </c>
      <c r="C6" s="8"/>
      <c r="D6" s="5"/>
      <c r="E6" s="6">
        <f t="shared" si="0"/>
        <v>0</v>
      </c>
      <c r="F6" s="15">
        <f t="shared" si="1"/>
        <v>0.375</v>
      </c>
      <c r="G6" s="7">
        <f>COUNT($D$2:D6)</f>
        <v>1</v>
      </c>
      <c r="H6" s="13"/>
    </row>
    <row r="7" spans="1:8">
      <c r="A7" s="4">
        <v>41645</v>
      </c>
      <c r="B7" s="16" t="s">
        <v>15</v>
      </c>
      <c r="C7" s="5"/>
      <c r="D7" s="5"/>
      <c r="E7" s="6">
        <f t="shared" si="0"/>
        <v>0</v>
      </c>
      <c r="F7" s="15">
        <f t="shared" si="1"/>
        <v>0.375</v>
      </c>
      <c r="G7" s="7">
        <f>COUNT($D$2:D7)</f>
        <v>1</v>
      </c>
      <c r="H7" s="13"/>
    </row>
    <row r="8" spans="1:8">
      <c r="A8" s="4">
        <v>41646</v>
      </c>
      <c r="B8" s="16" t="s">
        <v>16</v>
      </c>
      <c r="C8" s="8"/>
      <c r="D8" s="5"/>
      <c r="E8" s="6">
        <f t="shared" si="0"/>
        <v>0</v>
      </c>
      <c r="F8" s="15">
        <f t="shared" si="1"/>
        <v>0.375</v>
      </c>
      <c r="G8" s="7">
        <f>COUNT($D$2:D8)</f>
        <v>1</v>
      </c>
      <c r="H8" s="13"/>
    </row>
    <row r="9" spans="1:8">
      <c r="A9" s="4">
        <v>41647</v>
      </c>
      <c r="B9" s="16" t="s">
        <v>10</v>
      </c>
      <c r="C9" s="8"/>
      <c r="D9" s="5"/>
      <c r="E9" s="6">
        <f t="shared" si="0"/>
        <v>0</v>
      </c>
      <c r="F9" s="15">
        <f t="shared" si="1"/>
        <v>0.375</v>
      </c>
      <c r="G9" s="7">
        <f>COUNT($D$2:D9)</f>
        <v>1</v>
      </c>
      <c r="H9" s="13"/>
    </row>
    <row r="10" spans="1:8">
      <c r="A10" s="4">
        <v>41648</v>
      </c>
      <c r="B10" s="16" t="s">
        <v>11</v>
      </c>
      <c r="C10" s="8"/>
      <c r="D10" s="5"/>
      <c r="E10" s="6">
        <f t="shared" si="0"/>
        <v>0</v>
      </c>
      <c r="F10" s="15">
        <f t="shared" si="1"/>
        <v>0.375</v>
      </c>
      <c r="G10" s="7">
        <f>COUNT($D$2:D10)</f>
        <v>1</v>
      </c>
      <c r="H10" s="13"/>
    </row>
    <row r="11" spans="1:8">
      <c r="A11" s="4">
        <v>41649</v>
      </c>
      <c r="B11" s="16" t="s">
        <v>12</v>
      </c>
      <c r="C11" s="8"/>
      <c r="D11" s="5"/>
      <c r="E11" s="6">
        <f t="shared" si="0"/>
        <v>0</v>
      </c>
      <c r="F11" s="15">
        <f t="shared" si="1"/>
        <v>0.375</v>
      </c>
      <c r="G11" s="7">
        <f>COUNT($D$2:D11)</f>
        <v>1</v>
      </c>
      <c r="H11" s="13"/>
    </row>
    <row r="12" spans="1:8">
      <c r="A12" s="4">
        <v>41650</v>
      </c>
      <c r="B12" s="16" t="s">
        <v>13</v>
      </c>
      <c r="C12" s="8"/>
      <c r="D12" s="5"/>
      <c r="E12" s="6">
        <f t="shared" si="0"/>
        <v>0</v>
      </c>
      <c r="F12" s="15">
        <f t="shared" si="1"/>
        <v>0.375</v>
      </c>
      <c r="G12" s="7">
        <f>COUNT($D$2:D12)</f>
        <v>1</v>
      </c>
      <c r="H12" s="13"/>
    </row>
    <row r="13" spans="1:8">
      <c r="A13" s="4">
        <v>41651</v>
      </c>
      <c r="B13" s="16" t="s">
        <v>14</v>
      </c>
      <c r="C13" s="8"/>
      <c r="D13" s="5"/>
      <c r="E13" s="6">
        <f t="shared" si="0"/>
        <v>0</v>
      </c>
      <c r="F13" s="15">
        <f t="shared" si="1"/>
        <v>0.375</v>
      </c>
      <c r="G13" s="7">
        <f>COUNT($D$2:D13)</f>
        <v>1</v>
      </c>
      <c r="H13" s="13"/>
    </row>
    <row r="14" spans="1:8">
      <c r="A14" s="4">
        <v>41652</v>
      </c>
      <c r="B14" s="16" t="s">
        <v>15</v>
      </c>
      <c r="C14" s="8"/>
      <c r="D14" s="5"/>
      <c r="E14" s="6">
        <f t="shared" si="0"/>
        <v>0</v>
      </c>
      <c r="F14" s="15">
        <f t="shared" si="1"/>
        <v>0.375</v>
      </c>
      <c r="G14" s="7">
        <f>COUNT($D$2:D14)</f>
        <v>1</v>
      </c>
      <c r="H14" s="13"/>
    </row>
    <row r="15" spans="1:8">
      <c r="A15" s="4">
        <v>41653</v>
      </c>
      <c r="B15" s="16" t="s">
        <v>16</v>
      </c>
      <c r="C15" s="8"/>
      <c r="D15" s="5"/>
      <c r="E15" s="6">
        <f t="shared" si="0"/>
        <v>0</v>
      </c>
      <c r="F15" s="15">
        <f t="shared" si="1"/>
        <v>0.375</v>
      </c>
      <c r="G15" s="7">
        <f>COUNT($D$2:D15)</f>
        <v>1</v>
      </c>
      <c r="H15" s="13"/>
    </row>
    <row r="16" spans="1:8">
      <c r="A16" s="4">
        <v>41654</v>
      </c>
      <c r="B16" s="16" t="s">
        <v>10</v>
      </c>
      <c r="C16" s="8"/>
      <c r="D16" s="5"/>
      <c r="E16" s="6">
        <f t="shared" si="0"/>
        <v>0</v>
      </c>
      <c r="F16" s="15">
        <f t="shared" si="1"/>
        <v>0.375</v>
      </c>
      <c r="G16" s="7">
        <f>COUNT($D$2:D16)</f>
        <v>1</v>
      </c>
      <c r="H16" s="13"/>
    </row>
    <row r="17" spans="1:8">
      <c r="A17" s="4">
        <v>41655</v>
      </c>
      <c r="B17" s="16" t="s">
        <v>11</v>
      </c>
      <c r="C17" s="8"/>
      <c r="D17" s="5"/>
      <c r="E17" s="6">
        <f t="shared" si="0"/>
        <v>0</v>
      </c>
      <c r="F17" s="15">
        <f t="shared" si="1"/>
        <v>0.375</v>
      </c>
      <c r="G17" s="7">
        <f>COUNT($D$2:D17)</f>
        <v>1</v>
      </c>
      <c r="H17" s="13"/>
    </row>
    <row r="18" spans="1:8">
      <c r="A18" s="4">
        <v>41656</v>
      </c>
      <c r="B18" s="16" t="s">
        <v>12</v>
      </c>
      <c r="C18" s="8"/>
      <c r="D18" s="5"/>
      <c r="E18" s="6">
        <f t="shared" si="0"/>
        <v>0</v>
      </c>
      <c r="F18" s="15">
        <f t="shared" si="1"/>
        <v>0.375</v>
      </c>
      <c r="G18" s="7">
        <f>COUNT($D$2:D18)</f>
        <v>1</v>
      </c>
      <c r="H18" s="13"/>
    </row>
    <row r="19" spans="1:8">
      <c r="A19" s="4">
        <v>41657</v>
      </c>
      <c r="B19" s="16" t="s">
        <v>13</v>
      </c>
      <c r="C19" s="8"/>
      <c r="D19" s="5"/>
      <c r="E19" s="6">
        <f t="shared" si="0"/>
        <v>0</v>
      </c>
      <c r="F19" s="15">
        <f t="shared" si="1"/>
        <v>0.375</v>
      </c>
      <c r="G19" s="7">
        <f>COUNT($D$2:D19)</f>
        <v>1</v>
      </c>
      <c r="H19" s="13"/>
    </row>
    <row r="20" spans="1:8">
      <c r="A20" s="4">
        <v>41658</v>
      </c>
      <c r="B20" s="16" t="s">
        <v>14</v>
      </c>
      <c r="C20" s="8"/>
      <c r="D20" s="5"/>
      <c r="E20" s="6">
        <f t="shared" si="0"/>
        <v>0</v>
      </c>
      <c r="F20" s="15">
        <f t="shared" si="1"/>
        <v>0.375</v>
      </c>
      <c r="G20" s="7">
        <f>COUNT($D$2:D20)</f>
        <v>1</v>
      </c>
      <c r="H20" s="13"/>
    </row>
    <row r="21" spans="1:8">
      <c r="A21" s="4">
        <v>41659</v>
      </c>
      <c r="B21" s="16" t="s">
        <v>15</v>
      </c>
      <c r="C21" s="8"/>
      <c r="D21" s="5"/>
      <c r="E21" s="6">
        <f t="shared" si="0"/>
        <v>0</v>
      </c>
      <c r="F21" s="15">
        <f t="shared" si="1"/>
        <v>0.375</v>
      </c>
      <c r="G21" s="7">
        <f>COUNT($D$2:D21)</f>
        <v>1</v>
      </c>
      <c r="H21" s="13"/>
    </row>
    <row r="22" spans="1:8">
      <c r="A22" s="4">
        <v>41660</v>
      </c>
      <c r="B22" s="16" t="s">
        <v>16</v>
      </c>
      <c r="C22" s="8"/>
      <c r="D22" s="5"/>
      <c r="E22" s="6">
        <f t="shared" si="0"/>
        <v>0</v>
      </c>
      <c r="F22" s="15">
        <f t="shared" si="1"/>
        <v>0.375</v>
      </c>
      <c r="G22" s="7">
        <f>COUNT($D$2:D22)</f>
        <v>1</v>
      </c>
      <c r="H22" s="13"/>
    </row>
    <row r="23" spans="1:8">
      <c r="A23" s="4">
        <v>41661</v>
      </c>
      <c r="B23" s="16" t="s">
        <v>10</v>
      </c>
      <c r="C23" s="8"/>
      <c r="D23" s="5"/>
      <c r="E23" s="6">
        <f t="shared" si="0"/>
        <v>0</v>
      </c>
      <c r="F23" s="15">
        <f t="shared" si="1"/>
        <v>0.375</v>
      </c>
      <c r="G23" s="7">
        <f>COUNT($D$2:D23)</f>
        <v>1</v>
      </c>
      <c r="H23" s="13"/>
    </row>
    <row r="24" spans="1:8">
      <c r="A24" s="4">
        <v>41662</v>
      </c>
      <c r="B24" s="16" t="s">
        <v>11</v>
      </c>
      <c r="C24" s="8"/>
      <c r="D24" s="5"/>
      <c r="E24" s="6">
        <f t="shared" si="0"/>
        <v>0</v>
      </c>
      <c r="F24" s="15">
        <f t="shared" si="1"/>
        <v>0.375</v>
      </c>
      <c r="G24" s="7">
        <f>COUNT($D$2:D24)</f>
        <v>1</v>
      </c>
      <c r="H24" s="13"/>
    </row>
    <row r="25" spans="1:8">
      <c r="A25" s="4">
        <v>41663</v>
      </c>
      <c r="B25" s="16" t="s">
        <v>12</v>
      </c>
      <c r="C25" s="8"/>
      <c r="D25" s="5"/>
      <c r="E25" s="6">
        <f t="shared" si="0"/>
        <v>0</v>
      </c>
      <c r="F25" s="15">
        <f t="shared" si="1"/>
        <v>0.375</v>
      </c>
      <c r="G25" s="7">
        <f>COUNT($D$2:D25)</f>
        <v>1</v>
      </c>
      <c r="H25" s="13"/>
    </row>
    <row r="26" spans="1:8">
      <c r="A26" s="4">
        <v>41664</v>
      </c>
      <c r="B26" s="16" t="s">
        <v>13</v>
      </c>
      <c r="C26" s="8"/>
      <c r="D26" s="5"/>
      <c r="E26" s="6">
        <f t="shared" si="0"/>
        <v>0</v>
      </c>
      <c r="F26" s="15">
        <f t="shared" si="1"/>
        <v>0.375</v>
      </c>
      <c r="G26" s="7">
        <f>COUNT($D$2:D26)</f>
        <v>1</v>
      </c>
      <c r="H26" s="13"/>
    </row>
    <row r="27" spans="1:8">
      <c r="A27" s="4">
        <v>41665</v>
      </c>
      <c r="B27" s="16" t="s">
        <v>14</v>
      </c>
      <c r="C27" s="8"/>
      <c r="D27" s="5"/>
      <c r="E27" s="6">
        <f t="shared" si="0"/>
        <v>0</v>
      </c>
      <c r="F27" s="15">
        <f t="shared" si="1"/>
        <v>0.375</v>
      </c>
      <c r="G27" s="7">
        <f>COUNT($D$2:D27)</f>
        <v>1</v>
      </c>
      <c r="H27" s="13"/>
    </row>
    <row r="28" spans="1:8">
      <c r="A28" s="4">
        <v>41666</v>
      </c>
      <c r="B28" s="16" t="s">
        <v>15</v>
      </c>
      <c r="C28" s="8"/>
      <c r="D28" s="5"/>
      <c r="E28" s="6">
        <f t="shared" si="0"/>
        <v>0</v>
      </c>
      <c r="F28" s="15">
        <f t="shared" si="1"/>
        <v>0.375</v>
      </c>
      <c r="G28" s="7">
        <f>COUNT($D$2:D28)</f>
        <v>1</v>
      </c>
      <c r="H28" s="13"/>
    </row>
    <row r="29" spans="1:8">
      <c r="A29" s="4">
        <v>41667</v>
      </c>
      <c r="B29" s="16" t="s">
        <v>16</v>
      </c>
      <c r="C29" s="8"/>
      <c r="D29" s="5"/>
      <c r="E29" s="6">
        <f t="shared" si="0"/>
        <v>0</v>
      </c>
      <c r="F29" s="15">
        <f t="shared" si="1"/>
        <v>0.375</v>
      </c>
      <c r="G29" s="7">
        <f>COUNT($D$2:D29)</f>
        <v>1</v>
      </c>
      <c r="H29" s="13"/>
    </row>
    <row r="30" spans="1:8">
      <c r="A30" s="4">
        <v>41668</v>
      </c>
      <c r="B30" s="16" t="s">
        <v>10</v>
      </c>
      <c r="C30" s="8"/>
      <c r="D30" s="5"/>
      <c r="E30" s="6">
        <f t="shared" si="0"/>
        <v>0</v>
      </c>
      <c r="F30" s="15">
        <f t="shared" si="1"/>
        <v>0.375</v>
      </c>
      <c r="G30" s="7">
        <f>COUNT($D$2:D30)</f>
        <v>1</v>
      </c>
      <c r="H30" s="13"/>
    </row>
    <row r="31" spans="1:8">
      <c r="A31" s="4">
        <v>41669</v>
      </c>
      <c r="B31" s="16" t="s">
        <v>11</v>
      </c>
      <c r="C31" s="8"/>
      <c r="D31" s="5"/>
      <c r="E31" s="6">
        <f t="shared" si="0"/>
        <v>0</v>
      </c>
      <c r="F31" s="15">
        <f t="shared" si="1"/>
        <v>0.375</v>
      </c>
      <c r="G31" s="7">
        <f>COUNT($D$2:D31)</f>
        <v>1</v>
      </c>
      <c r="H31" s="13"/>
    </row>
    <row r="32" spans="1:8">
      <c r="A32" s="4">
        <v>41670</v>
      </c>
      <c r="B32" s="16" t="s">
        <v>12</v>
      </c>
      <c r="C32" s="8"/>
      <c r="D32" s="5"/>
      <c r="E32" s="6">
        <f t="shared" si="0"/>
        <v>0</v>
      </c>
      <c r="F32" s="15">
        <f t="shared" si="1"/>
        <v>0.375</v>
      </c>
      <c r="G32" s="7">
        <f>COUNT($D$2:D32)</f>
        <v>1</v>
      </c>
      <c r="H32" s="13"/>
    </row>
  </sheetData>
  <sheetProtection password="CF67" sheet="1" objects="1" scenarios="1"/>
  <pageMargins left="0.7" right="0.7" top="0.75" bottom="0.75" header="0.3" footer="0.3"/>
  <ignoredErrors>
    <ignoredError sqref="G3:G3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</vt:lpstr>
      <vt:lpstr>Short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Zahid</dc:creator>
  <cp:lastModifiedBy>Zahid</cp:lastModifiedBy>
  <dcterms:created xsi:type="dcterms:W3CDTF">2014-01-02T05:03:32Z</dcterms:created>
  <dcterms:modified xsi:type="dcterms:W3CDTF">2014-01-02T05:55:45Z</dcterms:modified>
</cp:coreProperties>
</file>